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https://appsolvecoza-my.sharepoint.com/personal/hein_blignaut_appsolve_co_za/Documents/APPSolve Company Docs/Tender Knowledge Base/08_Commercial/"/>
    </mc:Choice>
  </mc:AlternateContent>
  <xr:revisionPtr revIDLastSave="130" documentId="11_7E183337DB3C1A3F277B7A7248CD73A76856CF5E" xr6:coauthVersionLast="47" xr6:coauthVersionMax="47" xr10:uidLastSave="{B4B884BC-345D-1047-90D5-1A7195D51A04}"/>
  <bookViews>
    <workbookView xWindow="0" yWindow="640" windowWidth="30240" windowHeight="19000" xr2:uid="{00000000-000D-0000-FFFF-FFFF00000000}"/>
  </bookViews>
  <sheets>
    <sheet name="ASSUMPTION_MASTER" sheetId="1" r:id="rId1"/>
    <sheet name="PACK_SUMMARY" sheetId="2" r:id="rId2"/>
    <sheet name="DECISION_DEPENDENCY_MAP" sheetId="3" r:id="rId3"/>
    <sheet name="CHANGE_SUMMARY" sheetId="4" r:id="rId4"/>
    <sheet name="VALIDATION_EXCEPTIONS" sheetId="5" r:id="rId5"/>
  </sheets>
  <definedNames>
    <definedName name="_xlnm._FilterDatabase" localSheetId="0" hidden="1">ASSUMPTION_MASTER!$A$1:$L$1026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4" l="1"/>
  <c r="B14" i="4"/>
  <c r="B13" i="4"/>
  <c r="B12" i="4"/>
  <c r="B11" i="4"/>
  <c r="B10" i="4"/>
  <c r="B9" i="4"/>
  <c r="B8" i="4"/>
  <c r="B7" i="4"/>
  <c r="B6" i="4"/>
  <c r="B5" i="4"/>
  <c r="B4" i="4"/>
</calcChain>
</file>

<file path=xl/sharedStrings.xml><?xml version="1.0" encoding="utf-8"?>
<sst xmlns="http://schemas.openxmlformats.org/spreadsheetml/2006/main" count="9764" uniqueCount="2475">
  <si>
    <t>Pack</t>
  </si>
  <si>
    <t>Section</t>
  </si>
  <si>
    <t>Assumption ID</t>
  </si>
  <si>
    <t>Assumption Text</t>
  </si>
  <si>
    <t>Status</t>
  </si>
  <si>
    <t>Priority</t>
  </si>
  <si>
    <t>Decision Dependency</t>
  </si>
  <si>
    <t>Review Action</t>
  </si>
  <si>
    <t>Proposed Wording</t>
  </si>
  <si>
    <t>Reviewer Notes</t>
  </si>
  <si>
    <t>Applied</t>
  </si>
  <si>
    <t>Date Applied</t>
  </si>
  <si>
    <t>HCM Base</t>
  </si>
  <si>
    <t>12. Third-Party System Assumptions</t>
  </si>
  <si>
    <t>HCM-3PT-001</t>
  </si>
  <si>
    <t>All third-party systems that require integration with Oracle HCM (including payroll systems, time and attendance systems, background check providers, job board platforms, and identity providers) must have documented, available, and accessible APIs or standard file exchange interfaces. Where a third-party vendor does not provide standard integration capability, APPSolve will assess the feasibility and cost of a custom integration during the Scope and Design phase.</t>
  </si>
  <si>
    <t>Approved v1.0</t>
  </si>
  <si>
    <t>None</t>
  </si>
  <si>
    <t>K</t>
  </si>
  <si>
    <t>No</t>
  </si>
  <si>
    <t>HCM-3PT-002</t>
  </si>
  <si>
    <t>The client is responsible for all commercial and contractual engagement with third-party vendors whose systems integrate with Oracle HCM. This includes obtaining API credentials, ensuring integration licensing is in place, arranging access to vendor technical support, and negotiating vendor-side integration effort. APPSolve is not responsible for third-party vendor delays, cost overruns, or technical limitations.</t>
  </si>
  <si>
    <t>HCM-3PT-003</t>
  </si>
  <si>
    <t>Third-party vendors must provide stable, accessible non-production (test) environments for all OIC integration testing activities. Delays caused by a third-party vendor's inability to provide a test environment, or instability of the vendor test environment, are outside APPSolve's control and may impact the project timeline.</t>
  </si>
  <si>
    <t>HCM-3PT-004</t>
  </si>
  <si>
    <t>The number of third-party system integrations included in scope is as documented in the SOW. Each integration not listed in the SOW constitutes a scope change and requires a formal Change Request and impact assessment before APPSolve proceeds.</t>
  </si>
  <si>
    <t>HCM-3PT-005</t>
  </si>
  <si>
    <t>Where a third-party system's API or file format changes after integration design has been completed, any remediation of the affected Oracle OIC integration is a Change Request.</t>
  </si>
  <si>
    <t>HCM-3PT-006</t>
  </si>
  <si>
    <t>APPSolve is an Oracle integration partner. APPSolve is not a payroll service provider, payroll bureau, or payroll administrator. Where APPSolve configures a payroll interface or OIC payroll integration, the payroll calculation, tax computation, statutory filing, and payroll compliance remain the exclusive responsibility of the client and their designated payroll provider.</t>
  </si>
  <si>
    <t>11. Change Management Assumptions</t>
  </si>
  <si>
    <t>HCM-CHG-001</t>
  </si>
  <si>
    <t>Organisational Change Management (OCM) — including communication planning, stakeholder engagement, resistance management, and change readiness assessments — is not included in base scope. APPSolve strongly recommends the client appoints a dedicated internal Change Manager for any Oracle HCM implementation impacting more than 200 employees.</t>
  </si>
  <si>
    <t>HCM-CHG-002</t>
  </si>
  <si>
    <t>APPSolve provides functional and technical support for the Oracle HCM implementation. Developing and executing a change management strategy, communication cascade, or employee engagement programme for the HCM go-live is the client's responsibility.</t>
  </si>
  <si>
    <t>HCM-CHG-003</t>
  </si>
  <si>
    <t>Where the client elects not to appoint an internal Change Manager, APPSolve accepts no responsibility for user adoption challenges, resistance to the new system, or the business impact of low system engagement after go-live.</t>
  </si>
  <si>
    <t>HCM-CHG-004</t>
  </si>
  <si>
    <t>APPSolve can provide optional Change Management consulting as a separately scoped and priced engagement. This must be explicitly included in the SOW if required.</t>
  </si>
  <si>
    <t>13. Customer Responsibilities</t>
  </si>
  <si>
    <t>HCM-CUS-001</t>
  </si>
  <si>
    <t>The client appoints a dedicated Project Sponsor with sufficient authority to make scope decisions, approve Change Requests, escalate issues to executive level, and provide go/no-go decisions at key project milestones. The absence of an empowered Project Sponsor is a significant project risk and is the client's responsibility to address.</t>
  </si>
  <si>
    <t>HCM-CUS-002</t>
  </si>
  <si>
    <t>The client appoints a dedicated HR Project Lead (or equivalent) who participates in the project team on a full-time or near-full-time basis throughout the implementation. The HR Project Lead is responsible for: facilitating access to subject matter experts; coordinating internal HR workshops; reviewing and approving design documents; leading UAT; and ensuring timely decisions on design questions raised by APPSolve.</t>
  </si>
  <si>
    <t>HCM-CUS-003</t>
  </si>
  <si>
    <t>The client makes available appropriate functional subject matter experts (HR administrators, payroll administrators, IT representatives, and departmental HR leads) for workshops, design reviews, testing, and training activities as required by the project plan. Unavailability of required client resources at agreed project milestones may impact the project timeline.</t>
  </si>
  <si>
    <t>HCM-CUS-004</t>
  </si>
  <si>
    <t>The client reviews and approves all APPSolve design documents, configuration workbooks, and test results within the agreed review turnaround period (standard: 5 business days unless otherwise agreed in the SOW). Delays in client review and approval that impact project milestones are the client's responsibility.</t>
  </si>
  <si>
    <t>HCM-CUS-005</t>
  </si>
  <si>
    <t>The client performs all data extraction, cleansing, preparation, and loading of migration data into APPSolve-provided templates. The client assigns appropriate data stewards for each data entity (employee records, jobs and positions, grade structures, absence entitlements) to own data quality for each migration cycle.</t>
  </si>
  <si>
    <t>HCM-CUS-006</t>
  </si>
  <si>
    <t>The client provides all business rules, policy documents, HR procedures, and process documentation required for Oracle HCM configuration. APPSolve configures Oracle HCM to the client's defined business rules. If business rules are undefined, incomplete, or contradictory, APPSolve will escalate to the client for resolution. Design decisions delayed by incomplete client business rules may impact the project timeline.</t>
  </si>
  <si>
    <t>HCM-CUS-007</t>
  </si>
  <si>
    <t>The client is responsible for obtaining all internal approvals required for Oracle HCM go-live, including approvals from executive sponsors, IT governance bodies, POPIA/data protection officers, works councils (where applicable), and any other internal stakeholder whose approval is a prerequisite for production deployment.</t>
  </si>
  <si>
    <t>HCM-CUS-008</t>
  </si>
  <si>
    <t>The client is responsible for all internal communication to employees, managers, and HR teams regarding the Oracle HCM implementation — including go-live announcements, system access instructions, training schedules, and post-go-live support contact details.</t>
  </si>
  <si>
    <t>HCM-CUS-009</t>
  </si>
  <si>
    <t>The client ensures that all required Oracle user licences are procured and active before the implementation commences. APPSolve is not responsible for Oracle licence procurement, licence compliance, or licence overruns caused by the client deploying Oracle HCM to a larger user population than was contracted.</t>
  </si>
  <si>
    <t>HCM-CUS-010</t>
  </si>
  <si>
    <t>Where after-hours access to the client's premises is required for implementation activities (for example, weekend cutover, hypercare on-call), the client provides such access to the relevant APPSolve consultants within agreed timelines.</t>
  </si>
  <si>
    <t>9. Cutover Assumptions</t>
  </si>
  <si>
    <t>HCM-CUT-001</t>
  </si>
  <si>
    <t>The production go-live date will be confirmed during the Mobilize phase and agreed in the project plan. APPSolve will build a detailed cutover plan including a cutover checklist, task assignments, and contingency procedures. The cutover plan must be reviewed and approved by the client before the production migration commences.</t>
  </si>
  <si>
    <t>HCM-CUT-002</t>
  </si>
  <si>
    <t>The production data migration window is assumed to be a weekend (Friday evening to Sunday evening, local time). Business-day production migrations that impact the client's operational HR processes during working hours require specific agreement and risk acceptance by the client.</t>
  </si>
  <si>
    <t>HCM-CUT-003</t>
  </si>
  <si>
    <t>A data freeze on the client's source HR system(s) is required from the start of the production data migration window. The client is responsible for communicating and enforcing the data freeze with all subsidiaries, HR teams, and system administrators. Any transactions processed in the source system during the data freeze period will not be reflected in Oracle HCM without manual intervention after go-live.</t>
  </si>
  <si>
    <t>HCM-CUT-004</t>
  </si>
  <si>
    <t>APPSolve will define a go/no-go decision point in the cutover plan. If the production migration cannot be completed within the agreed cutover window due to data quality failures, environment issues, or integration failures, APPSolve and the client will jointly assess whether to continue or roll back. The client retains the final go/no-go decision authority.</t>
  </si>
  <si>
    <t>HCM-CUT-005</t>
  </si>
  <si>
    <t>Where Oracle HCM is replacing an existing payroll-connected HR system, a parallel payroll run period is included in base scope as a standard risk-mitigation control. The parallel run enables the client to reconcile payroll outputs from the legacy system and Oracle HCM concurrently before the legacy system is decommissioned. The duration of the parallel run, reconciliation approach, and parallel run exit criteria are agreed with the client during the Scope and Design phase and are documented in the cutover plan.</t>
  </si>
  <si>
    <t>HCM-CUT-006</t>
  </si>
  <si>
    <t>Legacy system decommissioning, data archival, or shutdown of the client's previous HR system(s) after go-live is the client's responsibility. APPSolve does not plan or execute legacy system decommissioning.</t>
  </si>
  <si>
    <t>HCM-CUT-007</t>
  </si>
  <si>
    <t>Go-live readiness sign-off is required from both APPSolve and the client before the production migration commences. APPSolve will not proceed with production cutover without the client's written (or email) confirmation of readiness.</t>
  </si>
  <si>
    <t>HCM-CUT-008</t>
  </si>
  <si>
    <t>The following conditions apply to the parallel payroll run (HCM-CUT-005): (a) the parallel run applies to payroll interface outputs from Oracle HCM to the third-party payroll provider only; (b) Oracle HCM is not used as a payroll calculation engine — payroll calculations remain the payroll provider's responsibility throughout; (c) the client's payroll team owns the reconciliation between parallel run payroll outputs; APPSolve provides the Oracle HCM configuration and interface support; (d) the parallel run is not applicable where Oracle HCM is not replacing a payroll-connected system.</t>
  </si>
  <si>
    <t>5. Data Migration Assumptions</t>
  </si>
  <si>
    <t>HCM-DAT-001</t>
  </si>
  <si>
    <t>APPSolve provides Oracle FBDI-compliant data migration templates for all in-scope data entities. The client is responsible for extracting data from source systems, cleansing and normalising the data to the required format, and loading it into APPSolve's templates. APPSolve does not perform data extraction from client source systems unless explicitly included in the SOW as an additional service.</t>
  </si>
  <si>
    <t>HCM-DAT-002</t>
  </si>
  <si>
    <t>Only active employee records are migrated to Oracle HCM as part of this engagement. Terminated employees, historical employment records, and contractor records not included in the active employee population are excluded from the data migration scope unless explicitly agreed.</t>
  </si>
  <si>
    <t>HCM-DAT-003</t>
  </si>
  <si>
    <t>The client is responsible for the accuracy and completeness of all migrated data. APPSolve confirms that data has been loaded correctly into Oracle HCM and that the loaded records are visible and structurally valid. APPSolve does not take responsibility for the accuracy of source data, including personal details, employment dates, compensation records, or statutory information.</t>
  </si>
  <si>
    <t>HCM-DAT-004</t>
  </si>
  <si>
    <t>APPSolve will conduct a maximum of three (3) data migration load cycles during the implementation (for example: Mock 1, Mock 2, and Production Go-Live). Additional load cycles beyond this number constitute a scope change. The production data load is the final load cycle.</t>
  </si>
  <si>
    <t>HCM-DAT-005</t>
  </si>
  <si>
    <t>Historical learning completion records, historical performance review records, and historical payslip data are excluded from data migration scope unless explicitly agreed and scoped. Historical data take-on requires additional scoping, template design, and load effort, and is priced separately.</t>
  </si>
  <si>
    <t>HCM-DAT-006</t>
  </si>
  <si>
    <t>The client is responsible for completing data reconciliation between the source system and Oracle HCM after each migration load cycle. APPSolve provides reconciliation controls and validation reports; the client's HR data team performs the reconciliation sign-off.</t>
  </si>
  <si>
    <t>HCM-DAT-007</t>
  </si>
  <si>
    <t>All data provided by the client for migration must be in English or in the primary language of the Oracle HCM implementation. Where multi-language support is required, translated data values must be provided by the client in the required format before the migration load.</t>
  </si>
  <si>
    <t>HCM-DAT-008</t>
  </si>
  <si>
    <t>The client accepts that data migration activities introduce risk during the cutover period. The client is responsible for maintaining a data freeze on the source system during the final production migration window to prevent data divergence. The client is responsible for defining and enforcing the data freeze period.</t>
  </si>
  <si>
    <t>HCM-DAT-009</t>
  </si>
  <si>
    <t>Contractor, agency worker, and contingent worker records are excluded from the default Core HR data migration scope. If these worker types require Oracle HCM records (for example, to support self-service, absence, or workforce directory access), this must be agreed during the Scope and Design phase and scoped as an addition.</t>
  </si>
  <si>
    <t>1. Environment Assumptions</t>
  </si>
  <si>
    <t>HCM-ENV-001</t>
  </si>
  <si>
    <t>This engagement covers Oracle Fusion HCM Cloud (SaaS). No on-premises Oracle HCM software is deployed or licensed under this proposal. All environments are Oracle-managed cloud tenants.</t>
  </si>
  <si>
    <t>HCM-ENV-002</t>
  </si>
  <si>
    <t>The Oracle Cloud production environment will be provisioned by Oracle Corporation upon commercial agreement. Environment provisioning is Oracle's responsibility; APPSolve's implementation timeline commences from the date production and non-production environments are accessible to the project team.</t>
  </si>
  <si>
    <t>HCM-ENV-003</t>
  </si>
  <si>
    <t>This proposal is scoped to one (1) Oracle Cloud production environment and one (1) standard Oracle non-production environment included in the client's SaaS subscription. No assumption is made about multiple non-production environments. If additional non-production environments are required (for example, dedicated UAT, training, or development tenants beyond the single standard tenant), these must be explicitly licensed by the client as part of the Oracle SaaS contract and are outside APPSolve's implementation scope.</t>
  </si>
  <si>
    <t>HCM-ENV-004</t>
  </si>
  <si>
    <t>All Oracle Fusion HCM Cloud environments are subject to Oracle's standard quarterly update schedule. APPSolve will notify the client of upcoming updates and their potential impact during the implementation. The client acknowledges that Oracle quarterly updates may introduce changes to the user interface, delivered functionality, or configuration behaviour.</t>
  </si>
  <si>
    <t>HCM-ENV-005</t>
  </si>
  <si>
    <t>Access to Oracle Cloud environments requires a supported, up-to-date web browser. APPSolve does not provide IT support for client-side browser configuration, VPN setup, or network proxy issues that prevent access to Oracle Cloud.</t>
  </si>
  <si>
    <t>HCM-ENV-006</t>
  </si>
  <si>
    <t>The client is responsible for ensuring that all employees and project team members who require access to Oracle Cloud environments have the necessary internet connectivity. APPSolve is not responsible for performance degradation caused by the client's network infrastructure.</t>
  </si>
  <si>
    <t>HCM-ENV-007</t>
  </si>
  <si>
    <t>Oracle's standard SaaS availability commitments (as defined in the Oracle SaaS Service Level Agreement) apply to all production environments. APPSolve is not responsible for Oracle platform downtime, maintenance windows, or service degradation.</t>
  </si>
  <si>
    <t>HCM-ENV-008</t>
  </si>
  <si>
    <t>Any Oracle patch bundles, critical patch updates (CPUs), or mandatory platform changes applied by Oracle to the client's tenancy during the implementation are outside APPSolve's scope. APPSolve will assess the impact of such changes as part of the standard quarterly release management process; remediation effort is a change request.</t>
  </si>
  <si>
    <t>15. Explicit Exclusions</t>
  </si>
  <si>
    <t>HCM-EXC-001</t>
  </si>
  <si>
    <t>**Oracle Fusion Global Payroll (native):** APPSolve does not implement Oracle Fusion Global Payroll as a payroll calculation engine in South Africa. APPSolve implements the Oracle HCM Payroll Interface to connect Oracle HCM to a third-party payroll provider via OIC. Native Oracle Fusion payroll processing, statutory payroll filing (PAYE, UIF, SDL), and payroll legislative updates are excluded from this engagement.</t>
  </si>
  <si>
    <t>HCM-EXC-002</t>
  </si>
  <si>
    <t>**Organisational Change Management (OCM):** Formal change management planning, stakeholder mapping, communication cascades, resistance management, and change readiness programmes are excluded from base scope. OCM is available as a separately priced optional service.</t>
  </si>
  <si>
    <t>HCM-EXC-003</t>
  </si>
  <si>
    <t>**Custom Software Development:** Bespoke code development, Oracle Application Framework (OAF) page personalisation, Oracle Fusion Application Composer extensions beyond standard low-code configuration, and Oracle VBCS application development are excluded from base scope. Any requirement for custom code is assessed and priced separately.</t>
  </si>
  <si>
    <t>HCM-EXC-004</t>
  </si>
  <si>
    <t>**Hardware, Infrastructure, and Networking:** Oracle Fusion HCM Cloud is a SaaS solution hosted and managed by Oracle. No hardware procurement, server deployment, network infrastructure design, or data centre services are included in this engagement.</t>
  </si>
  <si>
    <t>HCM-EXC-005</t>
  </si>
  <si>
    <t>**Oracle EPM (Enterprise Performance Management):** Oracle Fusion Workforce Planning, Oracle Planning and Budgeting Cloud, and Oracle Narrative Reporting are EPM products and are excluded from this proposal. Workforce budgeting and headcount planning beyond Oracle HCM's included analytics are not in scope.</t>
  </si>
  <si>
    <t>HCM-EXC-006</t>
  </si>
  <si>
    <t>**Oracle University Training:** Oracle-branded training courses and Oracle Learning Subscriptions are not included in this proposal. Oracle University training is available directly from Oracle Corporation and is the client's direct commercial relationship.</t>
  </si>
  <si>
    <t>HCM-EXC-007</t>
  </si>
  <si>
    <t>**Legacy System Support:** Continued support, maintenance, or enhancement of the client's legacy HR system(s) during or after the Oracle HCM implementation is excluded from this engagement.</t>
  </si>
  <si>
    <t>HCM-EXC-008</t>
  </si>
  <si>
    <t>**Data Archival and Legacy System Decommissioning:** Archiving, purging, or decommissioning of data in the client's legacy HR system after Oracle HCM go-live is excluded from this engagement.</t>
  </si>
  <si>
    <t>HCM-EXC-009</t>
  </si>
  <si>
    <t>**Third-Party Vendor Integration Effort:** APPSolve designs and configures the Oracle OIC side of agreed integrations. Third-party vendor-side integration development, vendor API changes, vendor project management, and vendor testing resources are excluded from this engagement.</t>
  </si>
  <si>
    <t>HCM-EXC-010</t>
  </si>
  <si>
    <t>**POPIA Compliance Programme:** While APPSolve configures Oracle HCM in a manner consistent with POPIA principles (data minimisation, consent management where supported by Oracle), APPSolve does not provide legal advice on POPIA compliance, conduct POPIA risk assessments, or act as the client's Information Officer. The client retains sole responsibility for POPIA compliance.</t>
  </si>
  <si>
    <t>HCM-EXC-011</t>
  </si>
  <si>
    <t>**End-User Helpdesk and Level 1 Support:** First-line user support for Oracle HCM end users (password resets, navigation assistance, basic user queries) is excluded from the implementation scope. The client's IT helpdesk is responsible for Level 1 support. APPSolve provides Level 2 and Level 3 configuration and functional support through the AMS service.</t>
  </si>
  <si>
    <t>HCM-EXC-012</t>
  </si>
  <si>
    <t>**Report Development for Statutory Regulatory Submissions:** APPSolve does not prepare, validate, or submit statutory reports on behalf of the client (including EEA2/EEA4 Employment Equity reports, Workplace Skills Plans (WSP), Annual Training Reports (ATR), or PAYE/UIF/SDL reconciliations). APPSolve configures Oracle HCM to hold the data required for these reports; the extraction, validation, and submission of statutory reports to the relevant authority is the client's responsibility.</t>
  </si>
  <si>
    <t>14. General Assumptions</t>
  </si>
  <si>
    <t>HCM-GEN-001</t>
  </si>
  <si>
    <t>This engagement is delivered on a remote-first basis (videoconference, Oracle Cloud access, screen-share, and collaboration tools). The default on-site activities included in base scope are: (1) **UAT support** — APPSolve facilitates on-site UAT sessions at the client's premises; (2) **Go-Live support** — APPSolve senior team is on-site during the production cutover and day-one go-live. All other project activities — including project kick-off, Scope and Design workshops, CRP1 and CRP2 demonstrations — are conducted remotely unless the client specifically requests on-site facilitation and this is agreed in the SOW. Additional on-site days beyond those in the SOW are chargeable at APPSolve's standard rate card.</t>
  </si>
  <si>
    <t>HCM-GEN-002</t>
  </si>
  <si>
    <t>Travel, accommodation, and subsistence costs for APPSolve consultants attending on-site (UAT support and Go-Live support, and any additional on-site days agreed in the SOW) are for the client's account, in addition to consulting fees. APPSolve will agree a travel and expense approval process with the client before incurring any travel-related cost.</t>
  </si>
  <si>
    <t>HCM-GEN-003</t>
  </si>
  <si>
    <t>All project communication, documentation, and deliverables are in English. Where the client requires documentation in another language, translation is the client's responsibility.</t>
  </si>
  <si>
    <t>HCM-GEN-004</t>
  </si>
  <si>
    <t>APPSolve's standard implementation methodology is based on Oracle Unified Method (OUM) and the Oracle Customer Success Navigator. The six phases of the methodology are: Mobilize → Scope and Design → Prototype → Validate → Deploy → Evolve. The client accepts this methodology as the basis of the engagement.</t>
  </si>
  <si>
    <t>HCM-GEN-005</t>
  </si>
  <si>
    <t>All APPSolve resources assigned to this engagement are confirmed at the time of project initiation. APPSolve will not substitute named resources without prior written notification to the client. Where substitution is unavoidable (for example, resignation, medical), APPSolve will provide a resource of equivalent or greater seniority and experience.</t>
  </si>
  <si>
    <t>HCM-GEN-006</t>
  </si>
  <si>
    <t>This proposal covers Oracle Fusion HCM Cloud implementation only. Oracle subscription, licence, and hosting fees are payable directly by the client to Oracle Corporation and are not included in APPSolve's commercial proposal.</t>
  </si>
  <si>
    <t>HCM-GEN-007</t>
  </si>
  <si>
    <t>The implementation timeline in this proposal is based on the scope documented at the time of submission and assumes timely client decision-making, resource availability, and data readiness. Material changes to any of these factors may require timeline revision, assessed as a formal Change Request.</t>
  </si>
  <si>
    <t>HCM-GEN-008</t>
  </si>
  <si>
    <t>APPSolve will configure Oracle HCM to comply with applicable South African legislation (including the Basic Conditions of Employment Act, the Employment Equity Act, the POPIA, and relevant LRA requirements) as they apply to Oracle HCM configuration at the time of implementation. Changes to legislation after the design sign-off date that require configuration changes are assessed as a Change Request.</t>
  </si>
  <si>
    <t>HCM-GEN-009</t>
  </si>
  <si>
    <t>Where this engagement spans multiple calendar years, APPSolve's standard rate card is subject to an annual escalation in line with the South African CPI, applied on 1 March each year, unless fixed rates are explicitly agreed in the SOW.</t>
  </si>
  <si>
    <t>HCM-GEN-010</t>
  </si>
  <si>
    <t>APPSolve's maximum liability in relation to this engagement is limited to the total fees paid by the client to APPSolve under the relevant Statement of Work, as governed by APPSolve's standard Master Services Agreement.</t>
  </si>
  <si>
    <t>10. Hypercare Assumptions</t>
  </si>
  <si>
    <t>HCM-HYP-001</t>
  </si>
  <si>
    <t>A four (4) week hypercare period is the contractual default and commences immediately after the production go-live date. Hypercare is not a guideline — it is a standard delivery obligation. During hypercare, a senior APPSolve team is available during South African business hours (08:00–17:00 SAST, Monday–Friday) to respond to and resolve production defects and stabilisation issues. Hypercare scope is limited to defect resolution and system stabilisation. Enhancements, new functionality, new scope, and change requests are explicitly excluded from hypercare. Hypercare resource allocation is defined in the SOW.</t>
  </si>
  <si>
    <t>HCM-HYP-002</t>
  </si>
  <si>
    <t>During hypercare, APPSolve's response to production issues operates on the following priority classification, applicable during standard South African business hours (08:00–17:00 SAST, Monday–Friday): - **P1 (Critical):** System unavailable or payroll/data integrity impacted — 2-hour response - **P2 (High):** Major function unavailable, no workaround — 4-hour response - **P3 (Medium):** Non-critical issue, workaround available — next business day response These SLAs are contractual during hypercare. Extended-hours or weekend support during hypercare requires explicit agreement in the SOW and is priced as an additional service.</t>
  </si>
  <si>
    <t>HCM-HYP-003</t>
  </si>
  <si>
    <t>Hypercare support covers defect resolution and stabilisation of functionality that was in the agreed implementation scope. The following are explicitly excluded from hypercare support and will not be resolved under hypercare SLAs: (a) enhancements — changes to delivered functionality beyond what was agreed; (b) new scope requests — functionality not in the original SOW; (c) Change Requests — items identified as out-of-scope during the implementation; (d) training and user adoption support beyond what is documented in the hypercare plan. All excluded items are assessed and quoted separately as Change Requests.</t>
  </si>
  <si>
    <t>HCM-HYP-004</t>
  </si>
  <si>
    <t>The transition from hypercare to the client's steady-state support model (internal IT support or APPSolve AMS) is governed by a formal hypercare exit review. APPSolve will not transition out of hypercare without a documented handover and the client's acceptance.</t>
  </si>
  <si>
    <t>HCM-HYP-005</t>
  </si>
  <si>
    <t>If the client requires hypercare beyond the minimum agreed period due to outstanding issues, extended hypercare is available as an additional service at APPSolve's standard rate card. Extended hypercare must be agreed in writing before the scheduled hypercare end date.</t>
  </si>
  <si>
    <t>2. Organisation Structure Assumptions</t>
  </si>
  <si>
    <t>HCM-ORG-001</t>
  </si>
  <si>
    <t>The scope of Oracle HCM configuration is based on the number of legal entities, business units, locations, and legislative data groups confirmed during the Mobilize phase. Configuration effort estimates provided in this proposal are based on the entity and legislative scope documented at the time of submission. Scope changes require a formal Change Request.</t>
  </si>
  <si>
    <t>HCM-ORG-002</t>
  </si>
  <si>
    <t>The client is responsible for confirming the final list of legal entities, business units, departments, locations, and job structures to be configured in Oracle HCM before the Scope and Design phase commences. Design decisions made on the basis of unconfirmed or subsequently revised organisational data may require re-work, which will be assessed as a Change Request.</t>
  </si>
  <si>
    <t>HCM-ORG-003</t>
  </si>
  <si>
    <t>APPSolve will configure one Legislative Data Group (LDG) per country jurisdiction included in the agreed scope. Each additional LDG not identified in the scoping phase constitutes a scope change.</t>
  </si>
  <si>
    <t>HCM-ORG-004</t>
  </si>
  <si>
    <t>APPSolve will apply Oracle's Modern Best Practice organisational design principles as the default configuration approach. Significant deviations from Oracle Modern Best Practice — including highly customised department hierarchies, non-standard grade structures, or atypical legal entity configurations — may require additional configuration effort and will be assessed as a Change Request.</t>
  </si>
  <si>
    <t>HCM-ORG-005</t>
  </si>
  <si>
    <t>Organisational design decisions (including the structure of business units, department hierarchies, position vs job management approach, and grade ladder design) are the client's responsibility and must be finalised and signed off before configuration commences. APPSolve provides guidance and facilitation; final design authority rests with the client.</t>
  </si>
  <si>
    <t>HCM-ORG-006</t>
  </si>
  <si>
    <t>APPSolve configures Oracle Job Management (job-based worker assignments) as the default. Oracle Position Management (hard or soft position control) is not included in base scope and is not the APPSolve standard. Where the client's HR operating model requires Position Management — for example, for headcount control, vacancy management, or compliance with position-based authorities — this must be explicitly identified and agreed in the Scope and Design phase and is priced and scoped as an addition. Position Management imposes significant additional configuration, testing, and data migration complexity.</t>
  </si>
  <si>
    <t>HCM-ORG-007</t>
  </si>
  <si>
    <t>The client's HR organisation model (centralised vs decentralised HR) will be reflected in Oracle HCM through the configuration of Business Units, HR Organisations, and Security Profiles. The client is responsible for confirming which HR tasks are centralised (managed by a shared HR function) and which are distributed (managed by subsidiary or departmental HR teams) before security design commences.</t>
  </si>
  <si>
    <t>HCM-ORG-008</t>
  </si>
  <si>
    <t>APPSolve will configure a single Worker Number assignment sequence per implementation unless multiple sequences are specifically agreed in scope. Multiple worker number sequences (for example, separate series by legal entity or employment type) are a scope addition requiring a Change Request.</t>
  </si>
  <si>
    <t>6. Reporting Assumptions</t>
  </si>
  <si>
    <t>HCM-RPT-001</t>
  </si>
  <si>
    <t>APPSolve configures standard Oracle Transactional Business Intelligence (OTBI) reports and dashboards as part of this implementation. OTBI is the default reporting tool in Oracle Fusion HCM and is included in the HCM Base Cloud Service licence.</t>
  </si>
  <si>
    <t>HCM-RPT-002</t>
  </si>
  <si>
    <t>The number of custom OTBI reports included in base scope is limited to the count agreed during the Scope and Design phase. Custom OTBI reports beyond the agreed count are a scope change requiring a Change Request.</t>
  </si>
  <si>
    <t>HCM-RPT-003</t>
  </si>
  <si>
    <t>Oracle Analytics for Cloud (OAC/OAX) is a separately licensed Oracle product. Any OAC/OAX analytics requirements are outside the scope of this proposal unless explicitly included in the Bill of Materials and SOW.</t>
  </si>
  <si>
    <t>HCM-RPT-004</t>
  </si>
  <si>
    <t>Oracle BI Publisher is available within Oracle Fusion HCM for structured document generation (payslips, offer letters, notice templates). APPSolve includes BI Publisher configuration for documents confirmed in the Scope and Design phase. Additional BI Publisher templates beyond those agreed in scope constitute a Change Request.</t>
  </si>
  <si>
    <t>HCM-RPT-005</t>
  </si>
  <si>
    <t>All reports delivered by APPSolve are designed against the data model and configuration in place at the time of go-live. Changes to Oracle HCM configuration after report delivery that affect report output require report remediation, which is assessed as a Change Request.</t>
  </si>
  <si>
    <t>HCM-RPT-006</t>
  </si>
  <si>
    <t>The client is responsible for the business requirements for all reports, including the definition of required fields, filters, grouping, sorting, and calculation logic. APPSolve translates agreed requirements into OTBI configuration but does not define reporting requirements on the client's behalf.</t>
  </si>
  <si>
    <t>3. Security Assumptions</t>
  </si>
  <si>
    <t>HCM-SEC-001</t>
  </si>
  <si>
    <t>APPSolve will implement Oracle Fusion HCM role-based access control (RBAC) using Oracle's seeded duty roles and abstract roles as the baseline. Customisation of Oracle seeded duty roles is not included in base scope. All role requirements must be documented by the client before security configuration commences.</t>
  </si>
  <si>
    <t>HCM-SEC-002</t>
  </si>
  <si>
    <t>APPSolve will configure a maximum of four (4) custom Oracle HCM job roles as part of base scope: (1) Employee self-service role, (2) Line Manager role, (3) HR Administrator role, and (4) one (1) additional custom role specific to the client's security requirements, as confirmed during the Scope and Design phase. Custom job roles beyond these four constitute a scope change requiring a Change Request and additional effort assessment.</t>
  </si>
  <si>
    <t>HCM-SEC-003</t>
  </si>
  <si>
    <t>The client is responsible for defining and maintaining its user provisioning process (creation, modification, and deactivation of Oracle HCM user accounts). APPSolve configures the Oracle Identity Cloud Service (IDCS) / Oracle Cloud Infrastructure Identity and Access Management (OCI IAM) integration to the client's Identity Provider (IdP) if Single Sign-On (SSO) is in scope. SSO configuration is only included where explicitly stated in the SOW.</t>
  </si>
  <si>
    <t>HCM-SEC-004</t>
  </si>
  <si>
    <t>Where Single Sign-On (SSO) is included in scope, the client is responsible for providing access to the Identity Provider (IdP) environment (Microsoft Azure AD, Okta, Active Directory Federation Services, or equivalent), the IdP technical contact, and all required integration metadata (SAML 2.0 metadata XML, entity IDs, callback URLs). APPSolve configures the Oracle-side of the SSO integration only.</t>
  </si>
  <si>
    <t>HCM-SEC-005</t>
  </si>
  <si>
    <t>Data masking and data security in non-production environments is the client's responsibility. APPSolve recommends against loading production-grade personal data into non-production environments. The client is responsible for ensuring compliance with POPIA and applicable data protection legislation when populating test environments.</t>
  </si>
  <si>
    <t>HCM-SEC-006</t>
  </si>
  <si>
    <t>Oracle Transparent Data Encryption (TDE) is included in the Oracle Fusion HCM Base Cloud Service licence and is enabled by default on Oracle-managed cloud environments. APPSolve does not configure TDE — it is an Oracle platform control. APPSolve will include reference to TDE in security documentation but is not responsible for its configuration or certification.</t>
  </si>
  <si>
    <t>HCM-SEC-007</t>
  </si>
  <si>
    <t>The client is responsible for defining segregation of duties (SoD) requirements for Oracle HCM user roles. Where the client requires a formal SoD conflict matrix, this must be provided by the client or their internal audit function. APPSolve configures roles as directed but does not perform independent SoD audits.</t>
  </si>
  <si>
    <t>HCM-SEC-008</t>
  </si>
  <si>
    <t>APPSolve configures Oracle HCM security for the agreed list of user populations (employees, managers, HR administrators, HR Business Partners, senior leadership, and system administrators) as confirmed in the Scope and Design phase. User populations not identified during design that require distinct security profiles constitute a scope change.</t>
  </si>
  <si>
    <t>8. Training Assumptions</t>
  </si>
  <si>
    <t>HCM-TRN-001</t>
  </si>
  <si>
    <t>APPSolve delivers a train-the-trainer (TTT) training programme as the default training approach. The client is responsible for cascading knowledge to end users. APPSolve is not responsible for end-user training beyond the train-the-trainer group unless explicitly included in the SOW.</t>
  </si>
  <si>
    <t>HCM-TRN-002</t>
  </si>
  <si>
    <t>All APPSolve training is delivered in English. Translation of training materials into other languages is the client's responsibility and is not included in base scope.</t>
  </si>
  <si>
    <t>HCM-TRN-003</t>
  </si>
  <si>
    <t>APPSolve delivers training using APPSolve-prepared quick reference guides, process walkthrough documentation, and live demonstration in the configured Oracle HCM environment. High-fidelity interactive eLearning modules, narrated video training, or custom LMS content is not included in base scope.</t>
  </si>
  <si>
    <t>HCM-TRN-004</t>
  </si>
  <si>
    <t>The client is responsible for ensuring that designated train-the-trainer participants attend all scheduled training sessions. Rescheduling or repeating training sessions caused by client unavailability may constitute a Change Request.</t>
  </si>
  <si>
    <t>HCM-TRN-005</t>
  </si>
  <si>
    <t>Oracle University training courses (Oracle-branded instructor-led or virtual training) are not included in APPSolve's proposal. Oracle University training is available separately through Oracle and is the client's direct commercial relationship with Oracle Corporation.</t>
  </si>
  <si>
    <t>HCM-TRN-006</t>
  </si>
  <si>
    <t>APPSolve recommends that Oracle HCM system administrators attend relevant Oracle Cloud Learning Subscriptions (formerly Oracle University) courses before go-live to ensure sustainable system administration capability. This is a client action and is not included in APPSolve's scope.</t>
  </si>
  <si>
    <t>7. Testing Assumptions</t>
  </si>
  <si>
    <t>HCM-TST-001</t>
  </si>
  <si>
    <t>User Acceptance Testing (UAT) is led and owned by the client. APPSolve facilitates UAT by providing a structured test execution environment, issue logging process, and test support resources during the agreed UAT period. APPSolve does not sign off UAT on behalf of the client.</t>
  </si>
  <si>
    <t>HCM-TST-002</t>
  </si>
  <si>
    <t>The client is responsible for preparing UAT test scripts and scenarios aligned to their business processes. APPSolve provides configuration test scripts (CRP scripts) for the technical validation of Oracle HCM configuration; these are distinct from business UAT test scripts, which the client owns.</t>
  </si>
  <si>
    <t>HCM-TST-003</t>
  </si>
  <si>
    <t>The implementation plan includes two Conference Room Pilot (CRP) cycles and one UAT cycle as the APPSolve standard: **CRP1 (Design Validation)** — first rapid build; facilitated demonstration; structured design feedback captured and resolved before CRP2; **CRP2 (End-to-End Validation)** — complete end-to-end scenario test of configured Oracle HCM; final configuration sign-off before UAT entry. Additional CRP cycles beyond CRP1 and CRP2 are not included in standard scope and require a Change Request. A second UAT cycle also constitutes a scope change.</t>
  </si>
  <si>
    <t>HCM-TST-004</t>
  </si>
  <si>
    <t>The client is responsible for providing a sufficient number of business users for UAT participation. Delays in UAT caused by insufficient client user availability or late test script preparation are the client's responsibility and may impact the project timeline.</t>
  </si>
  <si>
    <t>HCM-TST-005</t>
  </si>
  <si>
    <t>APPSolve will track and manage defects identified during CRP and UAT using the agreed defect management tool (for example, Excel tracker, Jira, ServiceNow, or equivalent — to be agreed during Mobilize). Configuration defects (errors in APPSolve's configuration of Oracle HCM) are remediated by APPSolve at no additional cost. Defects attributable to incorrect or incomplete client business requirements, client data quality issues, or Oracle platform behaviour are not APPSolve's responsibility to remediate within base scope.</t>
  </si>
  <si>
    <t>HCM-TST-006</t>
  </si>
  <si>
    <t>System Integration Testing (SIT) for any in-scope OIC integrations requires test environments for all connected third-party systems to be available, accessible, and stable before SIT commences. Delays caused by third-party system unavailability or instability are the client's responsibility.</t>
  </si>
  <si>
    <t>HCM-TST-007</t>
  </si>
  <si>
    <t>Performance and load testing of the Oracle HCM Cloud environment is Oracle's responsibility as the SaaS provider. APPSolve does not conduct infrastructure performance testing. Oracle's standard SaaS platform is expected to support the contracted user volumes.</t>
  </si>
  <si>
    <t>HCM-TST-008</t>
  </si>
  <si>
    <t>APPSolve will conduct regression testing after each Oracle quarterly update during the active implementation period. Regression testing after go-live is included in the AMS scope, not the implementation scope. One UAT-to-go-live quarterly update cycle is included in base scope; additional quarterly cycles caused by delayed go-live are assessed as a Change Request.</t>
  </si>
  <si>
    <t>4. Workflow Assumptions</t>
  </si>
  <si>
    <t>HCM-WFL-001</t>
  </si>
  <si>
    <t>APPSolve configures Oracle HCM approval workflows using Oracle's Business Process Management (BPM) framework. All workflow configurations in scope are based on Oracle's delivered approval patterns (management hierarchy, position hierarchy, or approval group) applied to the transactions agreed during the Scope and Design phase.</t>
  </si>
  <si>
    <t>HCM-WFL-002</t>
  </si>
  <si>
    <t>The client is responsible for providing all approval hierarchies, approval rules, and notification requirements before workflow configuration commences. APPSolve will not design approval structures on behalf of the client. Approval structure changes after configuration has commenced are assessed as a Change Request.</t>
  </si>
  <si>
    <t>HCM-WFL-003</t>
  </si>
  <si>
    <t>The number of distinct approval workflows included in base scope is limited to the transactions listed in the agreed Scope and Design documentation. Additional approval workflows not identified in scope constitute a Change Request.</t>
  </si>
  <si>
    <t>HCM-WFL-004</t>
  </si>
  <si>
    <t>APPSolve configures email notifications using Oracle's standard notification framework. Custom-branded email templates (logo, HTML design, custom CSS) are not included in base scope. Standard Oracle email notification templates are the default delivery.</t>
  </si>
  <si>
    <t>HCM-WFL-005</t>
  </si>
  <si>
    <t>Where Oracle Human Capital Management Cloud workflow routing depends on manager hierarchies, those hierarchies must exist and be accurate in Oracle HCM before workflow testing can be completed. The client is responsible for ensuring management structure data is loaded and validated before workflow UAT commences.</t>
  </si>
  <si>
    <t>HCM-WFL-006</t>
  </si>
  <si>
    <t>Oracle HCM workflow delegation (out-of-office approval delegation) is a standard Oracle platform feature and is included in the delivered configuration. Configuration of permanent delegation hierarchies (where a specific role always delegates to another) requires a dedicated design decision from the client and may constitute a scope addition depending on complexity.</t>
  </si>
  <si>
    <t>HCM Recruiting</t>
  </si>
  <si>
    <t>19. Recruiting Agency Assumptions</t>
  </si>
  <si>
    <t>REC-AGY-001</t>
  </si>
  <si>
    <t>APPSolve configures Oracle Recruiting's agency management capability to allow approved external recruiting agencies to submit candidates directly into Oracle Recruiting. Agency portal access is limited to the agencies explicitly registered by the client's Recruiting Administrator.</t>
  </si>
  <si>
    <t>Draft</t>
  </si>
  <si>
    <t>REC-AGY-002</t>
  </si>
  <si>
    <t>Agency commission management, fee calculations, agency billing, and vendor management system (VMS) integration are excluded from base scope. Oracle Recruiting's agency module is used for candidate submission only; commercial fee management with agencies is the client's responsibility and is handled outside Oracle Recruiting unless a VMS integration is explicitly scoped.</t>
  </si>
  <si>
    <t>REC-AGY-003</t>
  </si>
  <si>
    <t>The client is responsible for commercially engaging all recruiting agencies used in Oracle Recruiting's agency portal. APPSolve configures the Oracle system to support the approved agency list provided by the client; APPSolve does not manage, evaluate, or onboard agencies on the client's behalf.</t>
  </si>
  <si>
    <t>24. Recruiting Booster Assumptions</t>
  </si>
  <si>
    <t>REC-BOO-001</t>
  </si>
  <si>
    <t>The assumptions in this section (REC-BOO-XXX) apply only where Oracle Fusion Recruiting Booster (B95763) is included in the Bill of Materials. Where only Oracle Fusion Recruiting Cloud (B87675) is licensed, Booster-specific capabilities (Two-Way Messaging, Digital Assistant chatbot, Event Management, Direct Apply) are not available and are excluded.</t>
  </si>
  <si>
    <t>High</t>
  </si>
  <si>
    <t>BU-REC-005</t>
  </si>
  <si>
    <t>REC-BOO-002</t>
  </si>
  <si>
    <t>**Two-Way Messaging:** APPSolve configures Oracle Recruiting Booster's two-way candidate communication (SMS and email). The client provides the approved sender identity (phone number/email domain) and complies with POPIA requirements for direct candidate communication via SMS/email. APPSolve configures the Oracle system; SMS transmission costs (if applicable) are governed by Oracle's platform model and are the client's commercial arrangement with Oracle.</t>
  </si>
  <si>
    <t>REC-BOO-003</t>
  </si>
  <si>
    <t>**Advanced Interview Scheduling (Booster):** APPSolve configures Booster's automated interview scheduling including calendar integration (Microsoft 365/Outlook — see REC-INT-003), interviewer availability-based scheduling, and centralised interview schedule management. Panel interview scheduling and multi-interviewer scheduling are supported by Oracle Booster's standard capability.</t>
  </si>
  <si>
    <t>REC-BOO-004</t>
  </si>
  <si>
    <t>**Oracle Digital Assistant (Chatbot):** APPSolve configures Oracle Recruiting Booster's Digital Assistant chatbot capability, enabling candidates to search jobs, receive AI-powered job recommendations, and start applications from a conversational chatbot interface. The chatbot is deployed on the client's Oracle career site. Custom chatbot scripts, custom NLP training, or integration to a third-party chatbot platform (for example, Intercom, Drift, or equivalent) are excluded.</t>
  </si>
  <si>
    <t>REC-BOO-005</t>
  </si>
  <si>
    <t>**Recruiting Event Management:** APPSolve configures Oracle Recruiting Booster's Event Management capability, enabling the client to create and promote recruitment events within Oracle Recruiting, manage event registration, and track candidate attendance. A maximum of two (2) event types are configured in base scope. Additional event types are a Change Request.</t>
  </si>
  <si>
    <t>REC-BOO-006</t>
  </si>
  <si>
    <t>**Direct Apply (LinkedIn):** APPSolve configures Oracle Recruiting Booster's Direct Apply integration with LinkedIn, enabling candidates to apply for jobs from LinkedIn job listings using their LinkedIn profile. This requires the client to hold a LinkedIn Company Page and accept LinkedIn's Direct Apply terms. The client's LinkedIn commercial relationship is the client's responsibility.</t>
  </si>
  <si>
    <t>REC-BOO-007</t>
  </si>
  <si>
    <t>**Bulk Communications:** APPSolve configures Oracle Recruiting Booster's bulk communication capability for sending mass candidate communications within Oracle Recruiting. The client is responsible for all communication content, POPIA consent compliance, and communication approval. APPSolve provides the technical configuration; the client manages communication campaigns.</t>
  </si>
  <si>
    <t>18. Candidate Migration Assumptions</t>
  </si>
  <si>
    <t>REC-CAN-001</t>
  </si>
  <si>
    <t>No candidate data migration is included in base scope. Oracle Recruiting launches as a clean system; all new candidate applications are captured natively in Oracle Recruiting from go-live. Historical candidate records, application history, and talent pools from the client's legacy ATS are excluded from migration.</t>
  </si>
  <si>
    <t>REC-CAN-002</t>
  </si>
  <si>
    <t>Where the client has active candidates in final selection stages (for example, offer stage) at the time of Oracle Recruiting go-live, those candidates will be managed to completion in the legacy ATS and/or migrated manually by the client's recruitment team. APPSolve does not migrate individual active candidate records from the legacy ATS.</t>
  </si>
  <si>
    <t>REC-CAN-003</t>
  </si>
  <si>
    <t>The client is responsible for communicating to candidates in process how their application will be managed during the system transition. APPSolve does not provide candidate communication services or manage candidate experience during the go-live transition.</t>
  </si>
  <si>
    <t>27. Recruiting Exclusions</t>
  </si>
  <si>
    <t>REC-EXC-001</t>
  </si>
  <si>
    <t>**Legacy ATS Data Migration:** No candidate data, requisition data, or application history is migrated from the client's legacy applicant tracking system (ATS — for example, Taleo, Workday Recruiting, SAP SuccessFactors, SmartRecruiters, Oracle Taleo, or equivalent) to Oracle Recruiting. Oracle Recruiting launches as a new system. The client is responsible for archiving legacy ATS data.</t>
  </si>
  <si>
    <t>REC-EXC-002</t>
  </si>
  <si>
    <t>**Taleo Integration:** Where the client operates Oracle Taleo Business Edition (TBE) or Oracle Taleo Enterprise Edition (TEE), migration or integration between Taleo and Oracle Fusion Recruiting is excluded from base scope. APPSolve has Taleo implementation experience; however, Taleo-to-Oracle Fusion Recruiting migration is a standalone engagement assessed and priced separately.</t>
  </si>
  <si>
    <t>REC-EXC-003</t>
  </si>
  <si>
    <t>**Agency Commission and VMS Integration:** Recruiting agency commission management, fee calculation, purchase order generation, and vendor management system (VMS) integration (for example, Beeline, Fieldglass, Coupa) are excluded. Oracle Recruiting is used for candidate submission from agencies only; all financial transactions with recruiting agencies are managed outside Oracle Recruiting.</t>
  </si>
  <si>
    <t>REC-EXC-004</t>
  </si>
  <si>
    <t>**Background Check Provider Configuration:** Third-party background check platform configuration (portal setup, screening package definition, result management) is excluded. APPSolve's scope is limited to the Oracle OIC integration design (where this is separately scoped); the background check provider's own platform configuration is the client's and the provider's responsibility.</t>
  </si>
  <si>
    <t>REC-EXC-005</t>
  </si>
  <si>
    <t>**E-Signature Platform Integration:** Integration between Oracle Recruiting offer management and a dedicated e-signature platform (DocuSign, Adobe Sign, Dropbox Sign, or equivalent) is excluded from base scope. This integration is assessed and priced separately.</t>
  </si>
  <si>
    <t>REC-EXC-006</t>
  </si>
  <si>
    <t>**Recruitment Process Outsourcing (RPO) Configuration:** Where the client operates with a Recruitment Process Outsourcing provider managing their recruitment function, configuration of the RPO's access model, reporting requirements, and process customisation for the RPO is not in base scope. RPO-specific configuration is assessed during the Scope and Design phase.</t>
  </si>
  <si>
    <t>REC-EXC-007</t>
  </si>
  <si>
    <t>**Oracle Taleo CRM and Candidate Relationship Management (CRM) beyond Booster:** Advanced candidate CRM functionality beyond what is available in Oracle Recruiting Booster (event management, bulk communications, two-way messaging) is excluded. Oracle's dedicated Talent Acquisition CRM modules beyond Booster are not in scope.</t>
  </si>
  <si>
    <t>REC-EXC-008</t>
  </si>
  <si>
    <t>**Social Media Publishing Beyond LinkedIn:** Automated job posting to social media platforms beyond LinkedIn (for example, Twitter/X, Facebook, Instagram, TikTok) is not available as a standard Oracle Recruiting feature and is excluded. Job promotion on social media is the client's marketing team's responsibility.</t>
  </si>
  <si>
    <t>21. Interview Scheduling Assumptions</t>
  </si>
  <si>
    <t>REC-INT-001</t>
  </si>
  <si>
    <t>APPSolve configures interview scheduling within Oracle Recruiting. Interview scheduling includes: interview stage configuration within the candidate selection process; interviewer assignment; interview invitation; and feedback collection via Oracle Recruiting's interview feedback forms.</t>
  </si>
  <si>
    <t>REC-INT-002</t>
  </si>
  <si>
    <t>Where Oracle Fusion Recruiting Booster (B95763) is included in the BOM, APPSolve configures Booster's advanced interview scheduling: two-way calendar integration with the client's calendar system; automated availability-based scheduling; and centralized interview schedule management for the recruitment team. See Section 24 (Recruiting Booster Assumptions).</t>
  </si>
  <si>
    <t>REC-INT-003</t>
  </si>
  <si>
    <t>Calendar integration for interview scheduling is based on Microsoft 365 / Outlook. The client is responsible for providing an appropriate Microsoft 365 service account or integration credentials for calendar access. Google Workspace (Google Calendar) integration for interview scheduling requires assessment before commitment — confirm feasibility with the Oracle product team during Scope and Design if Google Workspace is the client's calendar platform.</t>
  </si>
  <si>
    <t>Medium</t>
  </si>
  <si>
    <t>BU-REC-002</t>
  </si>
  <si>
    <t>REC-INT-004</t>
  </si>
  <si>
    <t>Background check provider integration is not included in base scope. APPSolve can design and configure an OIC integration between Oracle Recruiting and a third-party background check provider (for example, Managed Integrity Screening, iFacts, LexisNexis, or equivalent) as a separately scoped and priced integration. The background check provider must offer a documented API. The client is responsible for all commercial engagement with the background check provider.</t>
  </si>
  <si>
    <t>BU-REC-006</t>
  </si>
  <si>
    <t>22. LinkedIn Integration Assumptions</t>
  </si>
  <si>
    <t>REC-LIN-001</t>
  </si>
  <si>
    <t>Oracle Recruiting integrates with LinkedIn for job posting via LinkedIn Limited Listings. This integration is available as part of Oracle Recruiting (B87675) at no additional Oracle licence cost. APPSolve configures the LinkedIn integration as part of the career site and posting configuration. The client is responsible for holding a LinkedIn Company Page and accepting LinkedIn's terms for job posting.</t>
  </si>
  <si>
    <t>REC-LIN-002</t>
  </si>
  <si>
    <t>LinkedIn Recruiter System Connect (RSC) integration — which enables LinkedIn Recruiter seat holders to view candidate Oracle Recruiting profiles from within LinkedIn Recruiter — requires the client to hold LinkedIn Recruiter seat licences and is configured where in scope. LinkedIn RSC is an Oracle-delivered connector and is configured by APPSolve; the client's LinkedIn commercial relationship is the client's responsibility.</t>
  </si>
  <si>
    <t>REC-LIN-003</t>
  </si>
  <si>
    <t>Direct Apply via LinkedIn (enabling candidates to apply for jobs from LinkedIn using their LinkedIn profile) is available where Oracle Fusion Recruiting Booster (B95763) is included in the BOM. Configuration of Direct Apply is included in the Booster scope. See Section 24.</t>
  </si>
  <si>
    <t>REC-LIN-004</t>
  </si>
  <si>
    <t>LinkedIn talent insights, LinkedIn Learning integration, and LinkedIn Talent Hub are separate LinkedIn products and are not part of Oracle Recruiting or Recruiting Booster. These are excluded from APPSolve's implementation scope.</t>
  </si>
  <si>
    <t>20. Offer Management Assumptions</t>
  </si>
  <si>
    <t>REC-OFF-001</t>
  </si>
  <si>
    <t>APPSolve configures Oracle Recruiting offer management including: offer creation, approval workflow, offer letter generation via Oracle BI Publisher, and offer status tracking. The offer management configuration is aligned to the one (1) requisition approval workflow included in base scope.</t>
  </si>
  <si>
    <t>REC-OFF-002</t>
  </si>
  <si>
    <t>A maximum of three (3) offer letter templates are configured in Oracle BI Publisher as part of base scope. Additional offer letter templates beyond three constitute a scope change. Each offer letter template must be provided by the client in Microsoft Word format with all required variable fields clearly marked before BI Publisher configuration commences.</t>
  </si>
  <si>
    <t>BU-REC-003</t>
  </si>
  <si>
    <t>REC-OFF-003</t>
  </si>
  <si>
    <t>Electronic signature integration (for example, DocuSign, Adobe Sign, or equivalent) for offer letters is not included in base scope. Oracle Recruiting's standard offer management delivers offer letters via email with the client downloading and returning the signed letter, or via Oracle's platform-level digital signature capability (if enabled in the Oracle tenancy). Dedicated e-signature platform integration is assessed and priced separately.</t>
  </si>
  <si>
    <t>REC-OFF-004</t>
  </si>
  <si>
    <t>The offer approval workflow configured in Oracle Recruiting routes offers through the client's management hierarchy or an approval group, as confirmed in the Scope and Design phase. Offer approval workflows that require conditional routing logic (for example, salary above a threshold routes to an additional approver) are assessed as a scope addition.</t>
  </si>
  <si>
    <t>REC-OFF-005</t>
  </si>
  <si>
    <t>Once a candidate accepts an offer in Oracle Recruiting, the transition to Oracle HCM (creation of the employee/pending worker record and initiation of onboarding Journeys) is configured as part of this implementation. The client is responsible for confirming all required pre-employment data fields and onboarding task lists before Recruiting-to-HCM transition configuration commences.</t>
  </si>
  <si>
    <t>17. Requisition Assumptions</t>
  </si>
  <si>
    <t>REC-REQ-001</t>
  </si>
  <si>
    <t>APPSolve configures Oracle Recruiting requisition management including: job requisition templates, requisition approval workflows, posting workflows, and job offer approval workflows. The number of distinct requisition templates and approval workflow variants is agreed in the Scope and Design phase. Each additional requisition template or approval variant beyond the agreed count constitutes a scope change.</t>
  </si>
  <si>
    <t>Low</t>
  </si>
  <si>
    <t>BU-REC-007</t>
  </si>
  <si>
    <t>REC-REQ-002</t>
  </si>
  <si>
    <t>A maximum of one (1) requisition approval workflow is configured in base scope. This workflow applies across all requisition types unless differentiated approval requirements per department, subsidiary, or job family are agreed as a scope addition.</t>
  </si>
  <si>
    <t>REC-REQ-003</t>
  </si>
  <si>
    <t>Job profiles (competencies, skills, qualifications, and responsibilities) used to populate requisitions must be available in Oracle HCM before Recruiting Design workshops commence. The client is responsible for defining and providing job profile content. APPSolve configures the Oracle job profile framework; the client populates job profiles.</t>
  </si>
  <si>
    <t>REC-REQ-004</t>
  </si>
  <si>
    <t>APPSolve configures Oracle Recruiting to support the candidate selection process as agreed during the Scope and Design phase. A maximum of one (1) candidate selection process (CSP) with up to five (5) interview stages is configured in base scope. Additional candidate selection processes (for example, separate CSPs for different job families, geographic regions, or employment types) constitute a scope addition.</t>
  </si>
  <si>
    <t>REC-REQ-005</t>
  </si>
  <si>
    <t>No historical open or closed requisitions are migrated from the client's legacy ATS to Oracle Recruiting. New requisitions are created by end users in Oracle Recruiting from go-live date. The client's HR team is responsible for closing open requisitions in the legacy ATS before or at go-live.</t>
  </si>
  <si>
    <t>23. Recruiting Reporting Assumptions</t>
  </si>
  <si>
    <t>REC-RPT-001</t>
  </si>
  <si>
    <t>APPSolve configures Oracle Recruiting's standard administration dashboards, including the Oracle Recruiting Administration dashboards for requisition pipeline, source effectiveness, and candidate stage reporting. These are Oracle-delivered dashboards and are available within the Oracle Recruiting licence at no additional analytics licence cost.</t>
  </si>
  <si>
    <t>REC-RPT-002</t>
  </si>
  <si>
    <t>Custom OTBI reports for Oracle Recruiting consume from the base OTBI custom report allowance defined in HCM Base assumption HCM-RPT-002. Recruiting-specific custom reports do not have a separate allowance; they are counted against the same total. Where all custom report slots are consumed by non-Recruiting modules, additional custom Recruiting reports are a Change Request.</t>
  </si>
  <si>
    <t>REC-RPT-003</t>
  </si>
  <si>
    <t>Oracle Analytics Cloud (OAC/OAX) advanced Recruiting analytics (advanced hiring funnel analysis, diversity pipeline analytics, AI-driven sourcing recommendations) are separately licensed and are excluded from this scope. HCM Base assumption HCM-RPT-003 applies.</t>
  </si>
  <si>
    <t>REC-RPT-004</t>
  </si>
  <si>
    <t>The client is responsible for defining all custom Recruiting report requirements (fields, filters, grouping, and calculation logic) in the same format as general HCM reporting requirements. HCM Base assumption HCM-RPT-006 applies to Recruiting reports.</t>
  </si>
  <si>
    <t>25. Recruiting Security Assumptions</t>
  </si>
  <si>
    <t>REC-SEC-001</t>
  </si>
  <si>
    <t>APPSolve configures Oracle Recruiting roles using Oracle's seeded Recruiting duty roles as the baseline: Recruiter, Hiring Manager, Interviewer, Recruiting Administrator, and Agency Recruiter. Custom modifications to Oracle seeded Recruiting duty roles are excluded. HCM Base assumption HCM-SEC-001 applies.</t>
  </si>
  <si>
    <t>REC-SEC-002</t>
  </si>
  <si>
    <t>Recruiting security is configured as a global model by default. Where the client requires subsidiary-level or regional security (for example, Recruiter A can only see requisitions for Business Unit X, not Business Unit Y), this constitutes a scope addition and is assessed during the Scope and Design phase. Subsidiary-level Recruiting security increases configuration complexity.</t>
  </si>
  <si>
    <t>REC-SEC-003</t>
  </si>
  <si>
    <t>The client is responsible for defining the Recruiting security model — who can see which requisitions, which candidates, and which teams — before Recruiting security design commences. HCM Base assumption HCM-CUS-006 applies to Recruiting business rule documentation.</t>
  </si>
  <si>
    <t>16. Career Site Assumptions</t>
  </si>
  <si>
    <t>REC-SIT-001</t>
  </si>
  <si>
    <t>The default Oracle Recruiting career site configuration includes: one (1) external career site (branded and publicly accessible, designed for external candidates); one (1) internal career site (accessible to current employees for internal mobility and referrals); and one (1) agency/recruiter portal (accessible to approved external recruiting agencies). Each additional career site type beyond this default constitutes a scope change requiring a Change Request.</t>
  </si>
  <si>
    <t>BU-REC-001</t>
  </si>
  <si>
    <t>REC-SIT-002</t>
  </si>
  <si>
    <t>APPSolve configures career site branding using the client's logo, primary brand colour, and approved typography. Career site design is based on Oracle's standard career site builder toolset. Custom HTML/CSS development, multi-page microsite design, animated components, and complex interactive page designs beyond Oracle's standard career site builder capability are excluded from base scope.</t>
  </si>
  <si>
    <t>REC-SIT-003</t>
  </si>
  <si>
    <t>Where an agency portal is included in scope, APPSolve configures one (1) agency portal with one (1) agency supplier registered at go-live. Additional agency suppliers are added by the client's Recruiting Administrator after go-live as a standard administrative task. APPSolve provides training to the Recruiting Administrator on agency supplier management.</t>
  </si>
  <si>
    <t>BU-REC-004</t>
  </si>
  <si>
    <t>REC-SIT-004</t>
  </si>
  <si>
    <t>Career site content — including all job description text, employer brand copy, videos, photography, and supporting marketing content — is the client's responsibility. APPSolve configures the career site structure and branding framework; the client populates and maintains all content.</t>
  </si>
  <si>
    <t>REC-SIT-005</t>
  </si>
  <si>
    <t>Job posting to external job boards (including LinkedIn, PNet, and any additional boards) from Oracle Recruiting is configured for the boards confirmed in the Scope and Design phase. Each additional job board integration beyond those agreed constitutes a scope change. Job board account credentials and commercial arrangements with job board providers are the client's responsibility.</t>
  </si>
  <si>
    <t>26. Recruiting Training Assumptions</t>
  </si>
  <si>
    <t>REC-TRN-001</t>
  </si>
  <si>
    <t>APPSolve delivers Recruiting train-the-trainer (TTT) training for the following user populations: (1) Recruiters — Oracle Recruiting workflow, requisition management, candidate management, offer management; (2) Hiring Managers — requisition approval, interview scheduling, feedback submission, offer approval; (3) Recruiting Administrator — system administration, agency management, career site maintenance, reporting. HCM Base assumption HCM-TRN-001 applies.</t>
  </si>
  <si>
    <t>REC-TRN-002</t>
  </si>
  <si>
    <t>Where Oracle Recruiting Booster (B95763) is in scope, APPSolve delivers additional TTT training covering Booster-specific features: Two-Way Messaging, Advanced Interview Scheduling, Digital Assistant, Event Management. Booster training is included in the Recruiting training scope where B95763 is licensed.</t>
  </si>
  <si>
    <t>REC-TRN-003</t>
  </si>
  <si>
    <t>Candidate-facing guidance (how to apply, how to navigate the career site, how to track application status) is not delivered by APPSolve. Where the client requires candidate-facing help content, this is created and published by the client on their career site. APPSolve provides guidance to the Recruiting Administrator on how to add help content to the career site.</t>
  </si>
  <si>
    <t>HCM Learning</t>
  </si>
  <si>
    <t>32. Third-Party Learning System Integration</t>
  </si>
  <si>
    <t>LRN-3PT-001</t>
  </si>
  <si>
    <t>Where the client requires integration between Oracle Fusion Learning Cloud and a third-party learning content platform or existing LMS (for example, Moodle, Skillstown, Docebo, Cornerstone, or equivalent), the number of integrations is agreed in the Scope and Design phase. Each third-party learning integration constitutes a separately scoped item. APPSolve configures Oracle OIC or Oracle's standard Learning Cloud connectors for the agreed integrations. Third-party platform configuration and API provision is the vendor's and client's responsibility.</t>
  </si>
  <si>
    <t>BU-LRN-003</t>
  </si>
  <si>
    <t>LRN-3PT-002</t>
  </si>
  <si>
    <t>Oracle Fusion Learning Cloud includes a standard Oracle connector for Moodle LMS and the Skillstown platform. Where these connectors are used, APPSolve configures the Oracle-side of the integration using the standard connector. The third-party platform's configuration for the integration is outside APPSolve's scope.</t>
  </si>
  <si>
    <t>LRN-3PT-003</t>
  </si>
  <si>
    <t>LinkedIn Learning integration (enabling Oracle Learning to surface LinkedIn Learning content within the Oracle Learning interface) requires the client to hold active LinkedIn Learning licences. The integration is available via Oracle's standard LinkedIn Learning connector. APPSolve configures the Oracle-side integration where in scope; the client's LinkedIn Learning licence and content catalogue are the client's commercial responsibility.</t>
  </si>
  <si>
    <t>BU-LRN-004</t>
  </si>
  <si>
    <t>LRN-3PT-004</t>
  </si>
  <si>
    <t>Third-party learning content library subscriptions — including Skillsoft (Percipio), LinkedIn Learning, Udemy Business, Coursera for Business, OpenSesame, and similar platforms — are commercial arrangements between the client and the content provider. The cost of content library subscriptions is not included in APPSolve's commercial proposal.</t>
  </si>
  <si>
    <t>30. AI and Personalised Learning</t>
  </si>
  <si>
    <t>LRN-AI-001</t>
  </si>
  <si>
    <t>Oracle Fusion Learning Cloud includes Oracle's AI-powered personalised learning recommendation engine. APPSolve enables and configures the recommendation engine as part of the standard Learning implementation. AI-driven learning recommendations are generated by Oracle's machine learning models based on the learner's role, skills profile, career goals, and learning history.</t>
  </si>
  <si>
    <t>LRN-AI-002</t>
  </si>
  <si>
    <t>AI learning recommendations require the Oracle AI Dynamic Skills feature (included in HCM Base B85800) to be enabled and populated with employee skills data. Without active skills profiles, AI learning recommendations default to role-based content only. APPSolve recommends enabling Oracle AI Dynamic Skills in the same implementation wave as Oracle Learning Cloud for maximum personalisation value.</t>
  </si>
  <si>
    <t>LRN-AI-003</t>
  </si>
  <si>
    <t>APPSolve enables Oracle's AI personalisation engine but does not manually curate or tune the AI recommendation model. Oracle's machine learning engine curates recommendations automatically based on the learner's activity, skills, and Oracle's global skills intelligence. Custom recommendation algorithms or integration to a third-party recommendation engine are excluded.</t>
  </si>
  <si>
    <t>28. Learning Content Assumptions</t>
  </si>
  <si>
    <t>LRN-CON-001</t>
  </si>
  <si>
    <t>Oracle Fusion Learning Cloud supports the following content formats natively: SCORM 1.2, SCORM 2004, AICC, PDF documents, video files (MP4), web links, and Oracle-native assessments and quizzes. APPSolve configures the Learning platform to accept and deliver content in these formats. Content formats not in this list require assessment before inclusion in scope.</t>
  </si>
  <si>
    <t>LRN-CON-002</t>
  </si>
  <si>
    <t>All learning content — including course materials, SCORM packages, videos, PDF guides, assessment questions, and compliance course content — is the client's responsibility. APPSolve configures the Oracle Learning platform framework; the client creates, procures, and provides all content for upload. APPSolve does not author, edit, translate, or review learning content on the client's behalf.</t>
  </si>
  <si>
    <t>LRN-CON-003</t>
  </si>
  <si>
    <t>The client's designated Learning Administrator is responsible for uploading and maintaining content in Oracle Learning after go-live. APPSolve provides training to the Learning Administrator on content upload, version management, and catalogue maintenance during the training phase of the implementation. Content upload during the implementation is performed by the client under APPSolve's guidance, not by APPSolve.</t>
  </si>
  <si>
    <t>LRN-CON-004</t>
  </si>
  <si>
    <t>eLearning content authoring tools — including Articulate Storyline, Articulate Rise, Lectora Inspire, Adobe Captivate, iSpring, and similar platforms — are not in APPSolve's scope. The client is responsible for procuring authoring tool licences, creating SCORM content, and exporting it in a format compatible with Oracle Learning. APPSolve provides specification of the required content format.</t>
  </si>
  <si>
    <t>LRN-CON-005</t>
  </si>
  <si>
    <t>APPSolve is not responsible for the instructional design quality, pedagogical effectiveness, or learning outcome of content provided by the client. APPSolve confirms that content can be uploaded and delivered by Oracle Learning; it does not review content for learning effectiveness.</t>
  </si>
  <si>
    <t>33. Learning Data Migration</t>
  </si>
  <si>
    <t>LRN-DAT-001</t>
  </si>
  <si>
    <t>Historical learning completion data is migrated from the client's source system(s) for active employees only, covering a maximum of two (2) years of prior completion history. Completion records older than two years are excluded from migration. The client is responsible for extracting historical completion data from the source system and providing it in APPSolve's Oracle FBDI-compliant learning migration template.</t>
  </si>
  <si>
    <t>BU-LRN-002</t>
  </si>
  <si>
    <t>LRN-DAT-002</t>
  </si>
  <si>
    <t>Only learning completion records (pass/fail/completed status, completion date, and score where available) are migrated. Detailed learner attempt logs, video playback progress, per-question assessment responses, and forum activity from the legacy system are excluded from migration.</t>
  </si>
  <si>
    <t>LRN-DAT-003</t>
  </si>
  <si>
    <t>Where the client holds employee certification records with active expiry dates, these certifications may be migrated to Oracle Learning if the data is available in a structured format. The client provides certification data (employee ID, certification name, completion date, expiry date) in the required template. Certifications without structured expiry date data are out of scope for migration.</t>
  </si>
  <si>
    <t>LRN-DAT-004</t>
  </si>
  <si>
    <t>The client is responsible for the accuracy of all historical learning completion data provided for migration. APPSolve confirms the data has loaded correctly into Oracle Learning; it does not validate historical completion records against source system reports.</t>
  </si>
  <si>
    <t>35. Learning Exclusions</t>
  </si>
  <si>
    <t>LRN-EXC-001</t>
  </si>
  <si>
    <t>**eLearning Authoring Tool Procurement and Licensing:** Articulate Storyline, Articulate Rise, Lectora Inspire, Adobe Captivate, iSpring, and all similar authoring tools are excluded from APPSolve's scope. These tools are the client's commercial responsibility. APPSolve specifies the content format requirements for Oracle Learning compatibility.</t>
  </si>
  <si>
    <t>LRN-EXC-002</t>
  </si>
  <si>
    <t>**Historical Learning Data Beyond Two Years:** Learning completion records older than two years are excluded from migration. Where the client requires more than two years of historical data, this is assessed and priced as a scope addition. HCM Base assumption HCM-DAT-005 applies.</t>
  </si>
  <si>
    <t>LRN-EXC-003</t>
  </si>
  <si>
    <t>**Third-Party Learning Content Library Subscriptions:** The cost of external content library subscriptions (Skillsoft/Percipio, LinkedIn Learning, Udemy Business, Coursera for Business, or equivalent) is excluded from APPSolve's commercial proposal. Content library procurement is the client's direct commercial arrangement with the content provider.</t>
  </si>
  <si>
    <t>LRN-EXC-004</t>
  </si>
  <si>
    <t>**Oracle Learning Publisher (OLP):** Oracle Learning Publisher (the tool used to create Oracle-native learning content within the Oracle Learning platform) is an Oracle product feature. APPSolve provides awareness training to the Learning Administrator on Oracle Learning Publisher as part of standard Learning administration training. Dedicated Oracle Learning Publisher content authoring on behalf of the client is not in scope.</t>
  </si>
  <si>
    <t>LRN-EXC-005</t>
  </si>
  <si>
    <t>**Statutory WSP/ATR Report Preparation and SETA Submission:** APPSolve configures Oracle Learning to capture the data required for statutory compliance reporting. Populating the WSP/ATR templates, completing the statutory submission, liaising with the relevant SETA, and managing submission deadlines are the client's responsibility. APPSolve does not prepare or submit statutory skills development reports on the client's behalf.</t>
  </si>
  <si>
    <t>LRN-EXC-006</t>
  </si>
  <si>
    <t>**Legacy LMS Decommissioning:** Shutdown, data archival, and decommissioning of the client's legacy LMS (for example, Moodle, Cornerstone, SAP SuccessFactors Learning, or equivalent) after Oracle Learning go-live is the client's responsibility and is excluded from this engagement. HCM Base assumption HCM-EXC-008 applies.</t>
  </si>
  <si>
    <t>LRN-EXC-007</t>
  </si>
  <si>
    <t>**Instructor-Led Training (ILT) Logistics and Venue Management:** While Oracle Learning supports Instructor-Led Training (ILT) course management, scheduling, and attendance tracking, the physical logistics of running ILT sessions (venue booking, catering, instructor travel, printed materials) is the client's responsibility and is not in scope.</t>
  </si>
  <si>
    <t>LRN-EXC-008</t>
  </si>
  <si>
    <t>**Virtual Classroom Platform Integration:** Integration between Oracle Learning and a virtual classroom platform (Zoom, Microsoft Teams, Webex, or equivalent) for live ILT delivery is not included in base scope. Where the client requires virtual classroom integration, this is assessed and priced as a scope addition.</t>
  </si>
  <si>
    <t>29. Learning Platform Configuration</t>
  </si>
  <si>
    <t>LRN-PLT-001</t>
  </si>
  <si>
    <t>APPSolve designs and configures the Oracle Learning catalogue structure, including learning categories, learning communities, course types, specialisations, and learning item taxonomy. The catalogue hierarchy design is agreed with the client's Learning and Development team during the Scope and Design phase. The client is responsible for reviewing and approving the catalogue design before configuration commences.</t>
  </si>
  <si>
    <t>LRN-PLT-002</t>
  </si>
  <si>
    <t>A maximum of [CONFIRM — BU Lead] learning communities are configured in base scope. Learning communities create audience-specific learning environments within Oracle Learning. Additional learning communities beyond the agreed count constitute a scope change. The client defines the community membership rules (by business unit, job family, location, or other attribute).</t>
  </si>
  <si>
    <t>BU-LRN-001</t>
  </si>
  <si>
    <t>LRN-PLT-003</t>
  </si>
  <si>
    <t>APPSolve configures automated learning assignment rules for mandatory compliance training. Assignment rules are based on criteria agreed during the Scope and Design phase (for example: assign Induction Training to all new hires; assign Safety Compliance to all employees in Operations). The client provides the complete list of mandatory training requirements and assignment criteria before assignment rule configuration commences.</t>
  </si>
  <si>
    <t>LRN-PLT-004</t>
  </si>
  <si>
    <t>Oracle Fusion Learning Cloud includes certification tracking capability. APPSolve configures certification definitions, validity periods, and expiry-based recertification automation as agreed in the Scope and Design phase. Certification tracking is a confirmed APPSolve implementation deliverable.</t>
  </si>
  <si>
    <t>LRN-PLT-005</t>
  </si>
  <si>
    <t>Social and collaborative learning features (discussion forums, peer recommendations, user-generated content sharing, learning ratings, and comments) are Oracle-delivered platform features. APPSolve enables these features as part of the standard Learning configuration. The client's Learning Administrator manages the social learning environment after go-live.</t>
  </si>
  <si>
    <t>LRN-PLT-006</t>
  </si>
  <si>
    <t>Oracle Fusion Learning Cloud is mobile-responsive and accessible from any device via a standard web browser. APPSolve does not develop, configure, or test a dedicated native mobile application for Oracle Learning — no such application is part of Oracle's standard Learning Cloud product.</t>
  </si>
  <si>
    <t>LRN-PLT-007</t>
  </si>
  <si>
    <t>Learning notification emails (course assignment notifications, completion confirmations, expiry reminders, and manager notifications) are configured using Oracle's standard notification framework. Custom HTML-branded email templates are not included in base scope. HCM Base assumption HCM-WFL-004 applies.</t>
  </si>
  <si>
    <t>31. Statutory Compliance and Reporting (SETA / WSP / ATR)</t>
  </si>
  <si>
    <t>LRN-SAT-001</t>
  </si>
  <si>
    <t>Oracle Fusion Learning Cloud captures the learning data required for South African statutory reporting, including Workplace Skills Plan (WSP) and Annual Training Report (ATR) submissions to the relevant SETA. APPSolve configures Oracle Learning to capture training activity at the required level of detail. The statutory submission itself is the client's responsibility. APPSolve delivers a structured OTBI data extract that the client's Learning Administrator uses to populate WSP/ATR templates. APPSolve does not submit WSP/ATR reports to any SETA on the client's behalf.</t>
  </si>
  <si>
    <t>BU-LRN-005</t>
  </si>
  <si>
    <t>LRN-SAT-002</t>
  </si>
  <si>
    <t>Employment Equity (EEA2/EEA4) training tracking is supported through Oracle Learning completion records. APPSolve configures Oracle Learning to tag training activities by race, gender, and disability category as required for EE reporting. The client's HR team is responsible for extracting, validating, and submitting Employment Equity reports to the Department of Employment and Labour. HCM Base assumption HCM-EXC-012 applies.</t>
  </si>
  <si>
    <t>LRN-SAT-003</t>
  </si>
  <si>
    <t>The accuracy of statutory reporting data depends on the completeness and accuracy of employee demographic records in Oracle HCM and learning completion records in Oracle Learning. The client is responsible for ensuring that employee demographic data and learning completion data are accurate before statutory extracts are generated.</t>
  </si>
  <si>
    <t>LRN-SAT-004</t>
  </si>
  <si>
    <t>Oracle Fusion Learning Cloud does not produce a pre-formatted SETA WSP/ATR submission form. The OTBI extract provided by APPSolve outputs raw data that the client's Learning team maps to the applicable SETA template for their sector. The client's Learning and Development team is responsible for SETA template completion and submission timing.</t>
  </si>
  <si>
    <t>34. Learning Training and Administration Assumptions</t>
  </si>
  <si>
    <t>LRN-TRN-001</t>
  </si>
  <si>
    <t>APPSolve delivers train-the-trainer (TTT) learning training for three user populations: (1) **Learning Administrator** — catalogue management, content upload, assignment rule management, certification administration, SETA extract generation, and Oracle Learning system administration; (2) **Managers** — team learning overview, assigning mandatory learning to team members, monitoring completion, and approval of discretionary learning requests; (3) **Employees** — self-service learning, browsing and enrolling in courses, completing learning, accessing transcripts and certificates.</t>
  </si>
  <si>
    <t>LRN-TRN-002</t>
  </si>
  <si>
    <t>The client's Learning Administrator is the primary post-go-live operational owner of Oracle Fusion Learning Cloud. APPSolve's implementation delivers a fully configured and operational learning environment; the ongoing task of catalogue management, content refresh, and learner enrolment is the Learning Administrator's responsibility from go-live.</t>
  </si>
  <si>
    <t>HCM Talent</t>
  </si>
  <si>
    <t>39. Career Development Assumptions</t>
  </si>
  <si>
    <t>TLT-CAR-001</t>
  </si>
  <si>
    <t>APPSolve configures Oracle Career Development to provide employees with self-service access to career path exploration, development plan creation, and learning recommendations aligned to career goals. Career path content (the roles, skills, qualifications, and development activities associated with each career path) is the client's responsibility. APPSolve configures the Oracle Career Development framework; the client populates career path content.</t>
  </si>
  <si>
    <t>BU-TLT-004</t>
  </si>
  <si>
    <t>TLT-CAR-002</t>
  </si>
  <si>
    <t>Oracle Career Development includes integration with Oracle AI Dynamic Skills (HCM Base B85800). Skills gaps identified against a target role in the career path automatically surface as recommended learning items in Oracle Learning Cloud (where Learning Cloud is also in scope). APPSolve configures this end-to-end skills-to-learning integration as part of the Talent Management and Learning implementation.</t>
  </si>
  <si>
    <t>TLT-CAR-003</t>
  </si>
  <si>
    <t>Development plans in Oracle Career Development are employee-owned and manager-supported. APPSolve configures the development plan framework and provides plan templates; employees and managers are responsible for creating and maintaining individual development plans after go-live. APPSolve does not create individual development plans for employees.</t>
  </si>
  <si>
    <t>42. Talent Management Exclusions</t>
  </si>
  <si>
    <t>TLT-EXC-001</t>
  </si>
  <si>
    <t>**OKR (Objectives and Key Results) Management:** Where the client operates an OKR framework distinct from SMART goals, the Oracle Goal Management module supports structured goal-setting but is not a dedicated OKR platform. Clients requiring deep OKR capability (OKR hierarchies, real-time OKR tracking dashboards, OKR-specific team alignment views) should confirm Oracle Goal Management meets their OKR requirements during the Scope and Design phase. Dedicated OKR platform integration (Lattice, Betterworks, Ally.io, or equivalent) is excluded.</t>
  </si>
  <si>
    <t>TLT-EXC-002</t>
  </si>
  <si>
    <t>**Third-Party Psychometric Assessment Integration:** Integration between Oracle Talent Management and third-party psychometric assessment platforms (Hogan Assessments, SHL/Talogy, Korn Ferry Assessment, MHS Talent, or equivalent) is excluded from base scope. These assessments are typically administered externally; results may be recorded manually in Oracle HCM talent profiles. OIC integration to a psychometric platform is a separately scoped and priced addition.</t>
  </si>
  <si>
    <t>TLT-EXC-003</t>
  </si>
  <si>
    <t>**External Talent Market Intelligence and Benchmarking:** Oracle Talent Management does not include external talent market benchmarking or labour market intelligence (for example, LinkedIn Talent Insights, Mercer Comptryx, or Korn Ferry benchmarking data). Such data is sourced from third-party providers and is the client's commercial arrangement.</t>
  </si>
  <si>
    <t>TLT-EXC-004</t>
  </si>
  <si>
    <t>**Talent Acquisition Integration (Recruiting-to-Talent):** Where Oracle Fusion Recruiting Cloud (B87675) is also in scope, the transition of a hired candidate into Oracle HCM and the activation of their talent profile is included in the Recruiting implementation. Where Oracle Recruiting is not in scope, no Recruiting-to-Talent integration is included.</t>
  </si>
  <si>
    <t>TLT-EXC-005</t>
  </si>
  <si>
    <t>**HR Talent Review Meeting Facilitation:** APPSolve configures Oracle Talent Review to support the client's Talent Review process. Running, facilitating, and moderating Talent Review meetings is the HR leadership's responsibility and is not in APPSolve's scope.</t>
  </si>
  <si>
    <t>TLT-EXC-006</t>
  </si>
  <si>
    <t>**Long-Term Incentive (LTI) Tracking Integration:** Tracking of long-term incentive awards (restricted share units, share options, performance shares) within Oracle HCM is not supported by Oracle Talent Management. Long-term incentive administration is typically managed by a dedicated equity management platform (Certent, Morgan Stanley Equity Edge, or similar). Integration to an equity management platform is excluded unless explicitly scoped.</t>
  </si>
  <si>
    <t>37. Goal Management Assumptions</t>
  </si>
  <si>
    <t>TLT-GOL-001</t>
  </si>
  <si>
    <t>APPSolve configures Oracle Goal Management to support the client's goal-setting and cascading process. The base scope includes: corporate-to-individual goal cascading; SMART goal configuration; goal weighting; goal progress tracking; and goal alignment across the management hierarchy. The goal framework design is agreed in the Scope and Design phase.</t>
  </si>
  <si>
    <t>TLT-GOL-002</t>
  </si>
  <si>
    <t>A maximum of one (1) goal plan is configured in base scope. A goal plan defines the active goal cycle, period, and eligibility criteria. Additional goal plans (for example, separate goal cycles per business unit, subsidiary, or job family) constitute a scope addition. The client confirms the number of concurrent goal plans required before configuration commences.</t>
  </si>
  <si>
    <t>TLT-GOL-003</t>
  </si>
  <si>
    <t>The client is responsible for defining and providing all corporate-level goals that are to be cascaded to employees before Oracle Goal Management configuration commences. APPSolve configures the Oracle goal framework and cascade mechanism; it does not define the client's corporate goals, strategic objectives, or performance targets.</t>
  </si>
  <si>
    <t>TLT-GOL-004</t>
  </si>
  <si>
    <t>Goal weightings — the percentage weight assigned to each goal within an employee's goal plan — are configured according to rules provided by the client. APPSolve configures the weighting framework; the client defines the weighting rules (for example, all goals weighted equally; strategic goals weighted 60%; operational goals weighted 40%).</t>
  </si>
  <si>
    <t>TLT-GOL-005</t>
  </si>
  <si>
    <t>Oracle Goal Management integrates with Oracle Performance Management so that goal achievement is reflected in the annual performance review. This integration is configured as part of the standard Talent Management implementation where both modules are in scope.</t>
  </si>
  <si>
    <t>36. Performance Management Assumptions</t>
  </si>
  <si>
    <t>TLT-PER-001</t>
  </si>
  <si>
    <t>APPSolve configures Oracle Performance Management using Oracle-delivered performance document templates. The base scope includes: one (1) annual performance review template and one (1) mid-year check-in template. Each additional performance template (for example, a separate template for a specific job family, subsidiary, or employment type) constitutes a scope addition requiring a Change Request.</t>
  </si>
  <si>
    <t>BU-TLT-001</t>
  </si>
  <si>
    <t>TLT-PER-002</t>
  </si>
  <si>
    <t>The rating model for Oracle Performance Management is confirmed during the Scope and Design phase. The default implementation is a single overall performance rating. Multi-dimension ratings (for example, separate ratings for performance, potential, and values alignment for a combined 9-box input) require a design decision and additional configuration effort to be agreed before Scope and Design commences.</t>
  </si>
  <si>
    <t>TLT-PER-003</t>
  </si>
  <si>
    <t>Oracle Performance Management supports peer feedback and upward feedback (360-degree feedback) as a standard platform feature. APPSolve configures 360-degree feedback where included in the agreed Scope and Design. Where 360-degree feedback is not in scope, the performance template is configured for self-assessment and manager assessment only. The client confirms which feedback sources are required before template configuration commences.</t>
  </si>
  <si>
    <t>BU-TLT-002</t>
  </si>
  <si>
    <t>TLT-PER-004</t>
  </si>
  <si>
    <t>Competency assessment within performance reviews requires a configured competency framework in Oracle HCM. The client is responsible for defining all competencies, proficiency levels, and their alignment to roles before performance template configuration commences. APPSolve configures the competency framework in Oracle HCM; the client defines the content.</t>
  </si>
  <si>
    <t>TLT-PER-005</t>
  </si>
  <si>
    <t>Continuous feedback (employee and manager ad-hoc feedback outside the formal performance cycle) is an Oracle-delivered feature within Oracle Performance Management. APPSolve enables continuous feedback as part of the standard Talent Management configuration. No additional configuration is required; the feature is activated by enabling the relevant Oracle HCM profile option.</t>
  </si>
  <si>
    <t>TLT-PER-006</t>
  </si>
  <si>
    <t>Oracle Performance Management workflow notifications (performance document assignment notifications, reminder notifications, approval notifications) are configured using Oracle's standard notification framework. Custom HTML-branded email templates are not included in base scope. HCM Base assumption HCM-WFL-004 applies.</t>
  </si>
  <si>
    <t>40. Talent Profile Assumptions</t>
  </si>
  <si>
    <t>TLT-PRO-001</t>
  </si>
  <si>
    <t>Oracle Talent Profiles (part of HCM Base B85800) store employee competencies, qualifications, certifications, work history, and skills. APPSolve configures the talent profile fields and structure as agreed in the Scope and Design phase. The activation of talent profiles is part of the HCM Base implementation; the Talent Management pack extends talent profiles with performance, succession, and career development data.</t>
  </si>
  <si>
    <t>TLT-PRO-002</t>
  </si>
  <si>
    <t>The client is responsible for defining the competency framework — including competency names, proficiency levels (for example: Developing, Proficient, Expert), and role-to-competency mappings — before talent profile configuration commences. APPSolve configures the Oracle competency framework based on the client's definitions.</t>
  </si>
  <si>
    <t>TLT-PRO-003</t>
  </si>
  <si>
    <t>Talent profile completeness — the degree to which employee talent profiles are populated with skills, competencies, and career goal data — is the responsibility of employees and the HR team after go-live. APPSolve configures the Oracle system and enables profile completion workflows; it does not populate individual employee talent profiles.</t>
  </si>
  <si>
    <t>TLT-PRO-004</t>
  </si>
  <si>
    <t>Oracle AI Dynamic Skills (HCM Base) continuously updates the skills dimension of talent profiles based on employee activity (role history, learning completions, performance data, and Oracle's global skills intelligence). APPSolve enables and configures the AI Dynamic Skills feature as part of the HCM Base implementation. Talent Management (B94925) activates the talent review, succession, and career development use cases for AI skills data.</t>
  </si>
  <si>
    <t>38. Talent Review and Succession Assumptions</t>
  </si>
  <si>
    <t>TLT-SUC-001</t>
  </si>
  <si>
    <t>APPSolve configures Oracle Talent Review using Oracle's standard 9-box grid (performance vs potential axes) as the default calibration tool. The 9-box grid axes are labelled based on the client's confirmed performance and potential definitions. Custom calibration axes beyond performance and potential (for example, values alignment or engagement as a third dimension) are assessed as a scope addition.</t>
  </si>
  <si>
    <t>TLT-SUC-002</t>
  </si>
  <si>
    <t>APPSolve configures Oracle Succession Planning for the succession plans agreed in the Scope and Design phase. The number of succession plans in scope is confirmed during Scope and Design; each additional succession plan beyond the agreed count constitutes a Change Request. Succession plans are built for agreed critical roles; the client identifies which roles require succession coverage before succession configuration commences.</t>
  </si>
  <si>
    <t>BU-TLT-003</t>
  </si>
  <si>
    <t>TLT-SUC-003</t>
  </si>
  <si>
    <t>Oracle Talent Review supports unlimited talent pool creation (a platform capability). APPSolve configures the initial talent pool structure as agreed in the Scope and Design phase. Ongoing talent pool management (adding, moving, and rating talent pool members) is the HR team's responsibility after go-live.</t>
  </si>
  <si>
    <t>TLT-SUC-004</t>
  </si>
  <si>
    <t>APPSolve configures Oracle Talent Review to support the client's HR Talent Review meeting process — including talent review meeting setup, participant configuration, and 9-box calibration capability. APPSolve does not facilitate or run the client's Talent Review meetings. Facilitating Talent Review meetings is an HR leadership responsibility.</t>
  </si>
  <si>
    <t>TLT-SUC-005</t>
  </si>
  <si>
    <t>Talent readiness assessments (rating succession candidates as Ready Now, Ready in 1–2 Years, or Ready in 3+ Years) are configured within Oracle Talent Review. The client's HR team is responsible for populating and maintaining readiness ratings for nominated succession candidates after go-live.</t>
  </si>
  <si>
    <t>41. Talent Management Training Assumptions</t>
  </si>
  <si>
    <t>TLT-TRN-001</t>
  </si>
  <si>
    <t>APPSolve delivers train-the-trainer (TTT) training for Oracle Talent Management across four user populations: (1) **HR Administrators** — Talent Management module configuration and administration, goal plan management, performance cycle management, succession plan administration; (2) **HR Business Partners** — Talent Review facilitation, 9-box calibration, succession candidate management, career development guidance; (3) **Managers** — goal setting and cascading, performance reviews, continuous feedback, development plan oversight, talent review participation; (4) **Employees** — self-service goal setting, performance review completion, career path exploration, and development plan creation.</t>
  </si>
  <si>
    <t>TLT-TRN-002</t>
  </si>
  <si>
    <t>APPSolve recommends that senior HR leaders (CHRO, HR Directors) who chair Talent Review meetings receive a dedicated orientation session on Oracle Talent Review's 9-box calibration interface. This orientation is included as part of the HR Business Partner training session (TLT-TRN-001). A separate executive briefing session is available as an optional service.</t>
  </si>
  <si>
    <t>HCM Compensation</t>
  </si>
  <si>
    <t>48. Compensation Data and Reporting Assumptions</t>
  </si>
  <si>
    <t>COM-DAT-001</t>
  </si>
  <si>
    <t>Compensation history migration is not performed as a standalone WFC deliverable. Employee current salary data is migrated as part of the HCM Base employee data migration (HCM-DAT-001 through HCM-DAT-004 apply). Historical salary change history (for example, every salary increase or grade change over the past 5 years) is not included in the base data migration scope. Historical compensation data required for reporting purposes is assessed separately.</t>
  </si>
  <si>
    <t>BU-COM-003</t>
  </si>
  <si>
    <t>COM-DAT-002</t>
  </si>
  <si>
    <t>Salary grade and salary range data (minimum, midpoint, maximum per grade) is loaded into Oracle WFC based on data provided by the client in APPSolve's required template format. The client is responsible for the accuracy and completeness of grade and salary range data. APPSolve loads the data and confirms it is correctly reflected in Oracle WFC.</t>
  </si>
  <si>
    <t>COM-DAT-003</t>
  </si>
  <si>
    <t>Third-party salary benchmarking data (Remchannel, Mercer, Korn Ferry, 21st Century, or equivalent) is not loaded into Oracle WFC as part of this implementation. Where the client wishes to use external market data to inform salary ranges, the client must provide grade-to-market data mapping, and APPSolve will assess whether it can be configured as a salary range input in Oracle WFC.</t>
  </si>
  <si>
    <t>COM-DAT-004</t>
  </si>
  <si>
    <t>Oracle Transaction Business Intelligence (OTBI) provides standard compensation reporting capability. APPSolve configures up to the agreed number of custom OTBI reports for compensation analytics during the implementation (subject to HCM Base reporting scope, HCM-REP-001 through HCM-REP-003). Where pay equity analysis reporting is required, APPSolve provides guidance on available OTBI subject areas; the design of a pay equity reporting framework is assessed per complexity.</t>
  </si>
  <si>
    <t>BU-COM-005</t>
  </si>
  <si>
    <t>50. Compensation Exclusions</t>
  </si>
  <si>
    <t>COM-EXC-001</t>
  </si>
  <si>
    <t>**Oracle Fusion Global Payroll:** Oracle Fusion Global Payroll (which calculates gross-to-net payroll, manages statutory deductions, and produces payslips) is a separate Oracle product and is not part of Oracle Workforce Compensation Cloud Service (B109620). APPSolve implements payroll interface outputs to the client's payroll provider as part of HCM Base (HCM-3PT-006). HCM Base assumption HCM-EXC-001 applies.</t>
  </si>
  <si>
    <t>COM-EXC-002</t>
  </si>
  <si>
    <t>**Oracle Incentive Compensation (Variable Pay / Commission Management):** Oracle Fusion Incentive Compensation (B92085) is a distinct Oracle Cloud product for managing commission plans and incentive compensation for sales and variable-pay workforces. It is not part of Oracle Workforce Compensation Cloud Service (B109620). Where the client requires commission management, Oracle Incentive Compensation is assessed and priced as a separate engagement.</t>
  </si>
  <si>
    <t>COM-EXC-003</t>
  </si>
  <si>
    <t>**Long-Term Incentive (LTI) and Equity Plan Administration:** Administration of long-term incentive programmes (restricted share units, performance shares, share options, share appreciation rights) is excluded from Oracle Workforce Compensation scope. LTI administration requires a dedicated equity management platform (Certent, Carta, Morgan Stanley Equity Edge, or equivalent). Integration between an equity management platform and Oracle HCM is assessed as a separately scoped OIC integration.</t>
  </si>
  <si>
    <t>COM-EXC-004</t>
  </si>
  <si>
    <t>**Third-Party Salary Benchmarking Integration:** Loading, updating, and maintaining third-party salary benchmarking data (Remchannel, Mercer, Korn Ferry, 21st Century, or equivalent) within Oracle WFC as a live integration is excluded from base scope. Where the client wants to reference market data ranges in Oracle WFC, this is assessed as a scope addition, subject to the data provider's API or file export capability.</t>
  </si>
  <si>
    <t>COM-EXC-005</t>
  </si>
  <si>
    <t>**Pay Equity Compliance Audit:** APPSolve configures Oracle WFC to support the data required for pay equity analysis. Conducting a formal pay equity compliance audit, presenting pay equity analysis results to HR leadership, or producing legal opinions on pay equity compliance under the Employment Equity Act is excluded from APPSolve's scope. These activities are the client's and their employment law advisers' responsibility.</t>
  </si>
  <si>
    <t>COM-EXC-006</t>
  </si>
  <si>
    <t>**IFRS 2 (Share-Based Payment) Accounting:** Calculation and reporting of IFRS 2 share-based payment expenses, fair value adjustments, and disclosure requirements for financial statements is excluded from Oracle Workforce Compensation scope. IFRS 2 accounting is the client's finance and external auditor's responsibility, supported by specialist equity accounting tools.</t>
  </si>
  <si>
    <t>COM-EXC-007</t>
  </si>
  <si>
    <t>**Retroactive Compensation Adjustments:** Processing retroactive salary increases (back-paying employees from a prior effective date based on a cycle that was completed late) is not a standard WFC feature. Where retroactive compensation adjustments are required, the approach is assessed during the Scope and Design phase, as it may require manual payroll interface adjustments outside Oracle WFC.</t>
  </si>
  <si>
    <t>43. Compensation Framework Assumptions</t>
  </si>
  <si>
    <t>COM-FRM-001</t>
  </si>
  <si>
    <t>APPSolve configures Oracle Workforce Compensation (WFC) to implement the client's compensation review process. The configuration scope covers: compensation plans, compensation components (merit, bonus, one-time payments), grade and salary range configuration, budget distribution, manager worksheets, approval workflows, and total compensation statements. The design of the compensation framework is agreed in the Scope and Design phase.</t>
  </si>
  <si>
    <t>COM-FRM-002</t>
  </si>
  <si>
    <t>The client is responsible for providing all compensation structure data before WFC configuration commences. This includes: (a) salary grade structure (grades, steps, minimum/midpoint/maximum salary ranges per grade); (b) job-to-grade mapping; (c) compensation plan eligibility rules (which employees participate in each plan); (d) budget amounts and distribution model. APPSolve configures Oracle WFC based on this data; it does not design the client's compensation philosophy or grade structure.</t>
  </si>
  <si>
    <t>COM-FRM-003</t>
  </si>
  <si>
    <t>The budget model (top-down or bottom-up) for the compensation cycle is confirmed in the Scope and Design phase. APPSolve configures the budget pool architecture as agreed. The default implementation is a single budget model. Where the client requires both top-down budget allocation and bottom-up budget tracking simultaneously, this is assessed as a scope addition.</t>
  </si>
  <si>
    <t>COM-FRM-004</t>
  </si>
  <si>
    <t>Oracle Workforce Compensation is configured to reflect the client's compensation cycle timing (annual, semi-annual, or quarterly review periods). The cycle schedule is confirmed in the Scope and Design phase. Multiple concurrent compensation cycles (for example, a merit cycle for permanent staff and a separate review cycle for contractors) are assessed as a scope addition.</t>
  </si>
  <si>
    <t>44. Merit and Incentive Plan Assumptions</t>
  </si>
  <si>
    <t>COM-PLN-001</t>
  </si>
  <si>
    <t>A maximum of one (1) merit plan is configured in base scope. A merit plan governs the annual salary review cycle — defining eligible employees, salary increase guidelines, budget allocation, manager worksheet access, and approval routing. Each additional merit plan (for example, a separate merit plan for a business unit, employment category, or subsidiary with a different review cycle) constitutes a Change Request.</t>
  </si>
  <si>
    <t>BU-COM-001</t>
  </si>
  <si>
    <t>COM-PLN-002</t>
  </si>
  <si>
    <t>A maximum of one (1) short-term incentive (bonus) plan is configured in base scope. A bonus plan governs the discretionary or formulaic bonus award cycle. The plan design (eligible employees, target bonus percentages, payout calculation method, and approval routing) is confirmed in the Scope and Design phase. Each additional bonus plan constitutes a Change Request.</t>
  </si>
  <si>
    <t>BU-COM-002</t>
  </si>
  <si>
    <t>COM-PLN-003</t>
  </si>
  <si>
    <t>Oracle Workforce Compensation supports one-time payment awards (spot bonuses, recognition payments, retention payments) as a distinct plan type. APPSolve configures one-time payment capability where included in the agreed plan inventory. One-time payment plans are subject to the same plan count assumptions as merit and bonus plans.</t>
  </si>
  <si>
    <t>COM-PLN-004</t>
  </si>
  <si>
    <t>Where Oracle Fusion Talent Management (B94925) is also in scope, Oracle WFC is configured to surface the employee's performance rating on the manager's compensation worksheet. This integration eliminates the need for the manager to switch between Talent Management and WFC during the compensation cycle. APPSolve configures this integration as part of the combined Talent + WFC implementation.</t>
  </si>
  <si>
    <t>COM-PLN-005</t>
  </si>
  <si>
    <t>Compensation guidelines — the matrix or table that defines recommended salary increase ranges by performance rating and compa-ratio band — are configured in Oracle WFC based on rules provided by the client. The client provides the complete compensation guidelines matrix before worksheet configuration commences. APPSolve configures the matrix; it does not define the client's compensation guidelines.</t>
  </si>
  <si>
    <t>47. Total Compensation Statement Assumptions</t>
  </si>
  <si>
    <t>COM-TCS-001</t>
  </si>
  <si>
    <t>Oracle Workforce Compensation includes the ability to generate Total Compensation Statements for employees. APPSolve configures a standard Oracle BI Publisher-based Total Compensation Statement template as part of the WFC implementation. The standard template includes compensation components configured in Oracle WFC and Oracle Benefits (where applicable). Custom-branded TCS templates with significant layout changes or additional data sources are assessed as a scope addition.</t>
  </si>
  <si>
    <t>BU-COM-004</t>
  </si>
  <si>
    <t>COM-TCS-002</t>
  </si>
  <si>
    <t>Total Compensation Statements reflect compensation data from Oracle WFC and Oracle Benefits (if included in scope). Data from third-party benefit providers, external pension fund valuations, long-term incentive (LTI) platforms, or payroll systems (for example, medical aid contributions, provident fund employer contributions) is only included in the TCS where it is loaded into Oracle HCM through a structured data feed or data migration. Third-party compensation data integration is assessed separately.</t>
  </si>
  <si>
    <t>COM-TCS-003</t>
  </si>
  <si>
    <t>Oracle Total Compensation Statements are generated and published to employees via Oracle HCM self-service. APPSolve configures the statement publishing rules (which employees receive statements, and when they become visible in self-service). The client's HR Compensation team is responsible for reviewing statements before publication; APPSolve configures the statement; it does not review statement accuracy on behalf of the client.</t>
  </si>
  <si>
    <t>49. Compensation Training Assumptions</t>
  </si>
  <si>
    <t>COM-TRN-001</t>
  </si>
  <si>
    <t>APPSolve delivers train-the-trainer (TTT) training for Oracle Workforce Compensation across three user populations: (1) **Compensation Administrator** — plan administration, budget management, cycle management, compensation statement publishing, OTBI compensation reporting, and Oracle WFC system administration; (2) **HR Business Partners / HR Managers** — review of manager worksheets, compensation cycle oversight, approval management; (3) **Managers** — compensation worksheet navigation, salary increase and bonus allocation, budget tracking, and approval submission.</t>
  </si>
  <si>
    <t>COM-TRN-002</t>
  </si>
  <si>
    <t>Employee training for Total Compensation Statement self-service access is included in the standard HCM employee self-service training (HCM Base assumption HCM-TRN-002). No separate training session is delivered for the employee TCS view.</t>
  </si>
  <si>
    <t>46. Compensation Approval Workflow Assumptions</t>
  </si>
  <si>
    <t>COM-WFL-001</t>
  </si>
  <si>
    <t>A maximum of one (1) approval workflow is configured per compensation plan in base scope. The approval workflow defines the approval routing for completed manager worksheets (for example: manager → HR Business Partner → HR Director → approved). Additional approval workflows per plan or conditional approval routing based on increase thresholds constitute a Change Request. HCM Base assumption HCM-WFL-001 applies.</t>
  </si>
  <si>
    <t>COM-WFL-002</t>
  </si>
  <si>
    <t>Oracle Workforce Compensation approval workflow notifications (worksheet assignment notifications, approval notifications, deadline reminders, and approval confirmation notifications) are configured using Oracle's standard notification framework. Custom HTML-branded email templates are not included in base scope. HCM Base assumption HCM-WFL-004 applies.</t>
  </si>
  <si>
    <t>45. Manager Worksheet Assumptions</t>
  </si>
  <si>
    <t>COM-WKS-001</t>
  </si>
  <si>
    <t>Oracle Workforce Compensation manager worksheets provide managers with a structured view of their team's compensation data, enabling them to allocate salary increases and bonuses within their assigned budget. APPSolve configures manager worksheets as part of the standard WFC implementation. Worksheet fields, column visibility, and manager instructions are agreed in the Scope and Design phase.</t>
  </si>
  <si>
    <t>COM-WKS-002</t>
  </si>
  <si>
    <t>The columns displayed on the manager worksheet (for example: current salary, proposed salary, increase amount, increase percentage, compa-ratio, performance rating, and budget remaining) are configured based on the client's requirements, confirmed in the Scope and Design phase. Column count does not in itself constitute a scope addition; however, calculated columns requiring custom formula logic are assessed per complexity.</t>
  </si>
  <si>
    <t>COM-WKS-003</t>
  </si>
  <si>
    <t>Read-only higher-level manager access to team worksheets (second-level manager visibility) is a standard WFC feature. APPSolve configures manager hierarchy access as part of the standard implementation. The client provides confirmation of the management hierarchy structure in Oracle HCM before worksheet configuration commences.</t>
  </si>
  <si>
    <t>Oracle OIC</t>
  </si>
  <si>
    <t>55. Certificate Assumptions</t>
  </si>
  <si>
    <t>OIC-CERT-001</t>
  </si>
  <si>
    <t>The client is responsible for procuring all SSL/TLS certificates required to establish secure HTTPS connectivity between Oracle OIC and endpoint systems. This includes: server certificates for client-managed SFTP servers; certificates required for mutual TLS (mTLS) integrations; any custom certificates required by the third-party vendor. Certificate procurement from certificate authorities (CAs), vendors, or internal PKI systems is the client's responsibility.</t>
  </si>
  <si>
    <t>OIC-CERT-002</t>
  </si>
  <si>
    <t>All SSL/TLS certificates required for integration connectivity must be provided to APPSolve before SIT commences. Where certificates are not available at SIT commencement, SIT for the affected integrations is deferred until certificates are available. Timeline impact from delayed certificate availability is the client's risk.</t>
  </si>
  <si>
    <t>OIC-CERT-003</t>
  </si>
  <si>
    <t>APPSolve installs and configures all provided certificates in Oracle OIC — including importing certificates into OIC's certificate management, configuring connections to use the correct certificate, and validating that certificate-secured connections are functional. Certificate installation in endpoint systems is the client's or vendor's responsibility.</t>
  </si>
  <si>
    <t>OIC-CERT-004</t>
  </si>
  <si>
    <t>Oracle OIC's own platform certificate (the OIC platform's public HTTPS certificate) is an Oracle-managed certificate included in the Oracle OIC subscription. APPSolve does not procure or manage Oracle OIC's platform certificate.</t>
  </si>
  <si>
    <t>OIC-CERT-005</t>
  </si>
  <si>
    <t>Post-go-live certificate lifecycle management — including certificate expiry monitoring, certificate renewal before expiry, and updating expired certificates in Oracle OIC — is the client's IT team's responsibility. APPSolve may assist with certificate renewal updates in OIC during a managed services or AMS engagement, but not under a standard implementation project.</t>
  </si>
  <si>
    <t>64. Constraints</t>
  </si>
  <si>
    <t>OIC-CON-001</t>
  </si>
  <si>
    <t>APPSolve configures Oracle OIC only. APPSolve does not configure, administer, support, or troubleshoot the source or target systems on either side of an integration. Any configuration changes, data corrections, or system administration actions required in source or target systems during the integration project are the responsibility of the respective system administrators.</t>
  </si>
  <si>
    <t>OIC-CON-002</t>
  </si>
  <si>
    <t>Integration performance is subject to Oracle OIC's published platform constraints — including maximum message payload size, maximum messages per hour per integration, maximum concurrent integration executions, and API gateway rate limits. APPSolve designs integrations within these constraints. Performance issues caused by Oracle OIC platform limits are escalated to Oracle Support; APPSolve assists with the technical escalation but cannot override Oracle's platform constraints.</t>
  </si>
  <si>
    <t>OIC-CON-003</t>
  </si>
  <si>
    <t>Oracle OIC integration capability depends on the existence of an Oracle-supported adapter or the availability of a standard REST/SOAP API at the endpoint. Where an endpoint system does not expose a REST or SOAP API, and where SFTP/file-based integration is not feasible, the integration cannot be implemented using Oracle OIC without custom adapter development. Custom adapter development is excluded from standard scope and requires assessment.</t>
  </si>
  <si>
    <t>OIC-CON-004</t>
  </si>
  <si>
    <t>APPSolve cannot guarantee third-party vendor API uptime, API versioning stability, or vendor response times during the integration project. If a vendor's API is unstable, underdocumented, or subject to breaking changes during the project, APPSolve will document the impact and raise it as a project risk for the client to manage with the vendor.</t>
  </si>
  <si>
    <t>OIC-CON-005</t>
  </si>
  <si>
    <t>OIC integration scope is bounded by the Integration Inventory agreed in the Scope and Design phase. Integrations added after the Integration Inventory is signed off require a formal Change Request that re-prices the design, build, test, and cutover effort for the new integration.</t>
  </si>
  <si>
    <t>OIC-CON-006</t>
  </si>
  <si>
    <t>APPSolve classifies all OIC integrations using a three-tier complexity model for estimation. Every integration in the Integration Inventory is assigned a tier during Scope and Design; the tier is documented in the project estimate. - **Simple:** One source system, one target system. Standard Oracle adapter. Limited data transformation — direct field mapping with minimal lookups. No orchestration. Standard authentication (OAuth 2.0, Basic Auth). Small to medium payload. Well-documented vendor API with sandbox available. - **Standard:** One source system, one target system. Moderate data transformation — code-set lookups, conditional logic, data splitting or merging. Standard error handling and retry. One-to-one field mapping plus lookups. Typical payload. Reasonably documented vendor API. - **Complex:** Multi-step orchestration involving three or more systems, or multi-step processing within a single flow. Multiple business objects in a single integration. Complex transformations — calculations, aggregations, multi-level conditional branching. High-volume or near-real-time processing. Non-standard adapter. Custom or complex authentication — mTLS, JWT, custom token. No vendor sandbox available; production credentials only for testing. Integrations that do not clearly fit a single tier are assessed by the project lead and categorised with a documented rationale in the estimate.</t>
  </si>
  <si>
    <t>62. Customer Responsibilities</t>
  </si>
  <si>
    <t>OIC-CUS-001</t>
  </si>
  <si>
    <t>**Business Ownership:** The client appoints a designated business owner for each integration. The business owner is accountable for: defining and approving integration requirements; attending and contributing to mapping workshops; validating mapping decisions; reviewing and signing off the Mapping Specification and TDD; executing or overseeing UAT; and providing go-live sign-off. Without a designated business owner, integration requirements cannot be finalised.</t>
  </si>
  <si>
    <t>OIC-CUS-002</t>
  </si>
  <si>
    <t>**Test Participation:** The client appoints UAT testers for each integration. UAT testers attend UAT sessions, execute test scenarios, record defect observations, and provide test sign-off. The client ensures UAT testers are available during the agreed UAT testing window. If UAT testers are unavailable during the agreed window, UAT is deferred and the timeline is extended.</t>
  </si>
  <si>
    <t>OIC-CUS-003</t>
  </si>
  <si>
    <t>**Infrastructure Readiness:** The client ensures that all source and target systems are technically configured and accessible before SIT commences. For each integration endpoint, the client confirms: (a) the system is deployed and accessible in the relevant environment; (b) test data is available in the system; (c) technical credentials for OIC connectivity have been provisioned; (d) the system administrator is available to support connectivity testing.</t>
  </si>
  <si>
    <t>OIC-CUS-004</t>
  </si>
  <si>
    <t>**Security Readiness:** The client's IT team completes all firewall rule changes, IP whitelisting configurations, network ACL updates, and VPN configurations required to allow Oracle OIC to reach source and target systems before SIT commences. APPSolve provides the required Oracle OIC IP ranges and port requirements. The client manages the IT change management process internally to ensure changes are implemented before the agreed SIT start date.</t>
  </si>
  <si>
    <t>OIC-CUS-005</t>
  </si>
  <si>
    <t>**Certificates:** The client procures all SSL/TLS certificates required for integration connectivity and provides them to APPSolve before SIT commences. The client confirms that all provided certificates are valid (not expired), correctly configured (covering the correct domain names), and in the correct format for Oracle OIC import. Certificate expiry dates must extend beyond the project's planned go-live date.</t>
  </si>
  <si>
    <t>OIC-CUS-006</t>
  </si>
  <si>
    <t>**Endpoint Availability:** The client ensures that all integration endpoints (source systems, target systems, and third-party vendor sandboxes) are available during agreed SIT and UAT testing windows. Where planned maintenance of endpoint systems is scheduled during testing windows, the client notifies APPSolve at least five (5) business days in advance. APPSolve adjusts the testing schedule where operationally feasible.</t>
  </si>
  <si>
    <t>OIC-CUS-007</t>
  </si>
  <si>
    <t>**Vendor Coordination:** The client is responsible for the commercial and technical relationship with all third-party vendors whose systems are included in the integration scope. Client responsibilities include: obtaining API documentation from each vendor; requesting vendor sandbox access; escalating vendor responsiveness issues; managing vendor participation in SIT; and managing vendor API version change communications. APPSolve is not a party to the client–vendor commercial relationship and cannot compel vendors to provide access, documentation, or support.</t>
  </si>
  <si>
    <t>OIC-CUS-008</t>
  </si>
  <si>
    <t>**Data Validation:** The client is responsible for validating the business accuracy of data flowing through integrations during UAT. APPSolve validates technical accuracy (data was transmitted correctly, in the correct format, to the correct endpoint). Business accuracy — confirming that the data in the target system is correctly classified, coded, and attributed according to the client's business rules — is the client's UAT team's responsibility.</t>
  </si>
  <si>
    <t>OIC-CUS-009</t>
  </si>
  <si>
    <t>**Sign-Offs:** The client provides written sign-off at each of the following integration milestones: (a) Mapping Specification sign-off (prerequisite for build); (b) Technical Design Document sign-off (prerequisite for build); (c) SIT completion sign-off (prerequisite for UAT); (d) UAT completion sign-off (prerequisite for production cutover); (e) Go-live authorisation (prerequisite for production deployment). Sign-off by email from the client's designated project manager or sponsor is acceptable.</t>
  </si>
  <si>
    <t>OIC-CUS-010</t>
  </si>
  <si>
    <t>**Service Accounts:** The client's IT team or system administrators provision all service accounts required for Oracle OIC to authenticate to source and target systems. APPSolve specifies the required service accounts, required permissions, and required credentials format for each integration. Service accounts must be created and credentials confirmed before the build phase commences. APPSolve does not create user accounts, modify access controls, or manage access provisioning in endpoint systems.</t>
  </si>
  <si>
    <t>OIC-CUS-011</t>
  </si>
  <si>
    <t>**API Documentation:** The client obtains and provides complete API documentation from all third-party vendors before the integration design phase commences. API documentation must include: the vendor's API reference (endpoints, request/response schema, authentication requirements, error codes); the vendor's connectivity prerequisites; and the vendor's support contact for technical integration queries. Where a vendor requires the client to complete an onboarding or registration process before API access is granted, the client initiates and completes this process in advance.</t>
  </si>
  <si>
    <t>OIC-CUS-012</t>
  </si>
  <si>
    <t>**OIC Licence and Environment:** The client ensures a valid Oracle OIC Enterprise or Standard subscription is active and that the OIC environment is provisioned, accessible, and at the correct release version before integration development commences. The client is responsible for Oracle licence renewal, Oracle OIC upgrade management, and Oracle OIC environment administration throughout the project and post-go-live.</t>
  </si>
  <si>
    <t>59. Cutover Assumptions</t>
  </si>
  <si>
    <t>OIC-CUT-001</t>
  </si>
  <si>
    <t>One production cutover event is included per integration. The cutover event covers: APPSolve promoting the integration from the non-production OIC environment to the production OIC environment; executing the cutover runbook; performing initial production connectivity tests; and confirming the integration is live in production.</t>
  </si>
  <si>
    <t>OIC-CUT-002</t>
  </si>
  <si>
    <t>APPSolve produces a cutover runbook for each integration covering: pre-cutover steps; production credential configuration; production environment promotion; initial connectivity test; go-live confirmation check; and rollback steps. The cutover runbook is reviewed and approved by the client's project manager before production cutover commences.</t>
  </si>
  <si>
    <t>OIC-CUT-003</t>
  </si>
  <si>
    <t>Multiple production cutover rehearsals (integration dress rehearsals) are not included in standard scope. Where the client requires production rehearsal runs — deploying to a production-like environment before the actual go-live — each rehearsal is assessed as a scope addition. APPSolve recommends rehearsals where the integration is business-critical or where the go-live window is time-constrained.</t>
  </si>
  <si>
    <t>OIC-CUT-004</t>
  </si>
  <si>
    <t>Production cutover requires the client's written go-ahead (go/no-go decision) from the designated project sponsor. APPSolve does not deploy to production without receiving the client's explicit go-live authorisation. The client's project manager or sponsor provides go-live authorisation in writing (email is acceptable) before APPSolve commences production deployment.</t>
  </si>
  <si>
    <t>OIC-CUT-005</t>
  </si>
  <si>
    <t>End-to-end data reconciliation between source and target systems at cutover — verifying that every record processed during the initial production run was correctly received and processed by the target system — is the client's operational responsibility. APPSolve provides integration-level validation (confirming OIC processed the expected number of messages without errors). Business-level reconciliation (confirming that business records in the target system match the source) is the client's team's responsibility.</t>
  </si>
  <si>
    <t>63. Dependencies</t>
  </si>
  <si>
    <t>OIC-DEP-001</t>
  </si>
  <si>
    <t>Oracle OIC Enterprise (B91110) licence must be active and the OIC environment provisioned and accessible before integration development commences. If OIC provisioning is delayed, integration development is deferred accordingly.</t>
  </si>
  <si>
    <t>OIC-DEP-002</t>
  </si>
  <si>
    <t>All source and target system technical specifications must be available and agreed before the integration design phase is completed. Undefined or changing endpoint specifications after design sign-off delay build and constitute a mapping change.</t>
  </si>
  <si>
    <t>OIC-DEP-003</t>
  </si>
  <si>
    <t>Where OIC integrations connect to Oracle Fusion HCM or Oracle Fusion ERP modules, those modules must be sufficiently configured in the non-production environment before SIT of dependent integrations commences. For example, an integration that sends employee data from HCM to a payroll system depends on the HCM Core module being configured and test data being available in HCM.</t>
  </si>
  <si>
    <t>OIC-DEP-004</t>
  </si>
  <si>
    <t>Third-party vendor API availability and technical documentation are a dependency for all integrations connecting to non-Oracle systems. If a vendor does not provide API documentation or sandbox access before the design phase, the integration design cannot be completed. The client is responsible for managing this dependency.</t>
  </si>
  <si>
    <t>OIC-DEP-005</t>
  </si>
  <si>
    <t>The Mapping Specification and Technical Design Document for each integration must be signed off before build commences. All mapping workshops, business mapping decisions, and code-set translation tables must be provided by the client before workshop outcomes can be finalised.</t>
  </si>
  <si>
    <t>OIC-DEP-006</t>
  </si>
  <si>
    <t>Production credentials for all source and target systems must be available before production cutover. Where production credentials differ from non-production credentials (for example, different service accounts, different API endpoints, different certificates), the client provides production credentials at least five (5) business days before the scheduled cutover date.</t>
  </si>
  <si>
    <t>52. Integration Design Assumptions</t>
  </si>
  <si>
    <t>OIC-DES-001</t>
  </si>
  <si>
    <t>The default integration architecture for APPSolve OIC implementations is point-to-point: one source system sends data directly to one target system via OIC. Point-to-point is preferred for its simplicity, maintainability, and lower design risk compared to hub-and-spoke or enterprise service bus (ESB) patterns. APPSolve does not implement ESB architectures or message broker replacements under a standard OIC engagement.</t>
  </si>
  <si>
    <t>OIC-DES-002</t>
  </si>
  <si>
    <t>Orchestration integrations — flows where OIC coordinates data between three or more systems in a single integration transaction — are not included in the standard point-to-point scope. Where the client's business process requires multi-step orchestration, APPSolve assesses the orchestration design as a separately scoped item. Orchestration integrations typically carry higher design and testing complexity and are priced accordingly.</t>
  </si>
  <si>
    <t>OIC-DES-003</t>
  </si>
  <si>
    <t>Standard Oracle-delivered adapters are the default mechanism for all OIC connections. APPSolve uses Oracle's published adapter catalogue (Oracle Fusion Applications adapter, REST adapter, SOAP adapter, File adapter, FTP adapter, Database adapter, and available pre-built connectors). Where no Oracle-delivered adapter exists for a target system, APPSolve uses the Oracle REST or SOAP adapter with the vendor's published API. Custom adapter development is excluded.</t>
  </si>
  <si>
    <t>OIC-DES-004</t>
  </si>
  <si>
    <t>APPSolve produces an Integration Inventory and a Technical Design Document (TDD) for each integration in scope. The TDD covers: connection design, trigger mechanism and frequency, payload structure, data transformation logic, error handling approach, and retry strategy. The client reviews and approves the TDD before build commences. Changes to an approved TDD after build commencement constitute a Change Request.</t>
  </si>
  <si>
    <t>OIC-DES-005</t>
  </si>
  <si>
    <t>Where a third-party system does not support a REST or SOAP API for integration, SFTP file-based integration is the standard fallback mechanism, subject to the customer's IT security approval of the SFTP connectivity approach. File-based integrations use the Oracle FTP Adapter. The client confirms the SFTP server host, port, directory path, file format, and file naming convention before file-based integration design commences. Where the client's system supports neither API nor SFTP, or where the client's security policy does not permit SFTP-based integration, the integration approach requires assessment before it can be included in scope.</t>
  </si>
  <si>
    <t>OIC-DES-006</t>
  </si>
  <si>
    <t>REST API integration is preferred over SOAP where both protocols are available from the vendor. Where SOAP is the only available protocol, APPSolve implements the SOAP integration using Oracle's SOAP adapter. Protocol selection is documented in the Integration Inventory and TDD.</t>
  </si>
  <si>
    <t>OIC-DES-007</t>
  </si>
  <si>
    <t>Where an applicable OIC accelerator exists in APPSolve's integration pattern library (W4-INT-001), the accelerator is used as the starting point for integration design. Accelerator applicability is assessed per integration during the estimation phase — no automatic effort discount is applied. Where an accelerator is confirmed applicable, the actual effort reduction is documented explicitly in the project estimate. Accelerator reuse does not eliminate design, testing, or cutover effort; it reduces the build component of effort for the specific integration flow covered by the accelerator.</t>
  </si>
  <si>
    <t>OIC-DES-008</t>
  </si>
  <si>
    <t>Error handling is included in every integration's design. Standard error handling covers: field-level validation errors (payload does not match schema), connection errors (target system unavailable), transformation errors (data type mismatches), and business validation errors (business rule violation at the target system). Error handling design follows APPSolve's standard error pattern library (OIC_IMPLEMENTATION_PATTERNS.md Section 4).</t>
  </si>
  <si>
    <t>OIC-DES-009</t>
  </si>
  <si>
    <t>Retry logic is included in every integration design where technically appropriate. Standard retry configuration: 3 retry attempts with exponential backoff. Custom retry rules (different retry counts, non-standard backoff intervals, or conditional retry based on error type) are assessed per complexity. Retry configuration is documented in the TDD.</t>
  </si>
  <si>
    <t>53. Endpoint Assumptions</t>
  </si>
  <si>
    <t>OIC-END-001</t>
  </si>
  <si>
    <t>All source and target system endpoints are technically available and accessible from Oracle OIC during SIT and UAT. If an endpoint is not available during the agreed testing window, SIT or UAT for that integration is deferred. Timeline impact arising from endpoint unavailability is the client's risk.</t>
  </si>
  <si>
    <t>OIC-END-002</t>
  </si>
  <si>
    <t>The client provides all technical endpoint connection details — including: API base URL, authentication credentials (username/password, API key, OAuth client ID/secret), SSL certificate information, SFTP host/port/directory/credentials, and any endpoint-specific connection parameters — before the design phase commences. APPSolve cannot begin integration design without complete endpoint specifications.</t>
  </si>
  <si>
    <t>OIC-END-003</t>
  </si>
  <si>
    <t>Where a third-party system is involved in the integration (for example, a payroll system, background check provider, banking platform, or HR portal), the third-party vendor is responsible for providing: API documentation, a sandbox environment for development and testing, technical support during integration testing, and timely response to integration queries. APPSolve facilitates the integration from the Oracle OIC side; it does not provide third-party vendor technical support.</t>
  </si>
  <si>
    <t>OIC-END-004</t>
  </si>
  <si>
    <t>Where a third-party vendor does not provide a sandbox environment for development, APPSolve uses mock data and mocked endpoint responses during the development phase. The client acknowledges that mock-based development may not surface all integration issues until SIT against the real endpoint commences. Production credentials and the live endpoint must be available before SIT commences.</t>
  </si>
  <si>
    <t>OIC-END-005</t>
  </si>
  <si>
    <t>If a third-party endpoint system is unavailable during agreed SIT or UAT testing windows due to vendor issues (planned maintenance, API downtime, API version changes, infrastructure problems), APPSolve cannot be held responsible for testing delays caused by vendor unavailability. The client is responsible for managing the vendor relationship and escalating endpoint availability issues to the vendor.</t>
  </si>
  <si>
    <t>OIC-END-006</t>
  </si>
  <si>
    <t>Oracle Fusion HCM and Oracle Fusion ERP endpoints use Oracle's standard REST APIs published in Oracle's API documentation. APPSolve designs HCM/ERP integrations using Oracle-standard REST endpoints. Custom Oracle Fusion endpoints (custom-developed APEX APIs, bespoke PaaS extensions) require assessment and are not assumed to follow Oracle's standard API patterns.</t>
  </si>
  <si>
    <t>65. Exclusions</t>
  </si>
  <si>
    <t>OIC-EXC-001</t>
  </si>
  <si>
    <t>**Data Cleansing:** Cleansing, de-duplicating, reformatting, or improving the quality of source system data before it passes through an OIC integration is excluded. Where poor source data quality causes integration failures, the root cause is the data quality issue in the source system, not the integration itself. The client is responsible for source data quality.</t>
  </si>
  <si>
    <t>OIC-EXC-002</t>
  </si>
  <si>
    <t>**Source System Remediation:** Fixing configuration defects, data integrity issues, missing master data, or API defects in source systems that prevent the integration from functioning is excluded. APPSolve identifies and documents source system issues encountered during SIT; resolution is the source system owner's responsibility.</t>
  </si>
  <si>
    <t>OIC-EXC-003</t>
  </si>
  <si>
    <t>**Third-Party Vendor Management:** Managing the commercial relationship, SLA, or performance of third-party vendors whose systems are integration endpoints is excluded. APPSolve provides technical integration expertise; the client owns the vendor relationship.</t>
  </si>
  <si>
    <t>OIC-EXC-004</t>
  </si>
  <si>
    <t>**Infrastructure Procurement:** Procuring, provisioning, or managing any infrastructure components required by the integration — including servers, networks, cloud infrastructure beyond Oracle OIC, SFTP servers, load balancers, or API gateways — is excluded. Oracle OIC itself is managed by Oracle; the client is responsible for all other infrastructure.</t>
  </si>
  <si>
    <t>OIC-EXC-005</t>
  </si>
  <si>
    <t>**Network Troubleshooting:** Diagnosing or resolving network connectivity issues between the client's infrastructure and third-party endpoints — including network latency, packet loss, DNS resolution failures, and routing issues — is excluded. Oracle OIC connects via the public internet or via Oracle's private network fabric; network troubleshooting at the client or vendor network layer is the respective IT team's responsibility.</t>
  </si>
  <si>
    <t>OIC-EXC-006</t>
  </si>
  <si>
    <t>**Business Process Redesign:** Redesigning the business process that the integration supports — including changing workflow, changing approval hierarchies, redesigning data flows for business reasons, or re-engineering systems to accommodate integration — is excluded from OIC scope.</t>
  </si>
  <si>
    <t>OIC-EXC-007</t>
  </si>
  <si>
    <t>**Change Management and User Adoption:** Change management activities associated with the business impact of integrations — including stakeholder communication about integrated system changes, training users on new process flows enabled by the integration, or user adoption measurement — are excluded.</t>
  </si>
  <si>
    <t>OIC-EXC-008</t>
  </si>
  <si>
    <t>**Training Beyond Agreed Super-User Scope:** Training delivery beyond the agreed super-user or administrator training scope for Oracle OIC monitoring and operations is excluded. APPSolve delivers one round of admin/operational training covering OIC monitoring, error management, and basic troubleshooting. Broad end-user training on integrated business processes is excluded.</t>
  </si>
  <si>
    <t>OIC-EXC-009</t>
  </si>
  <si>
    <t>**Managed Services and Post-Hypercare Ongoing Support:** Ongoing management of OIC integrations after hypercare — including monitoring, incident management, error resolution, and integration maintenance — is excluded from a standard implementation contract. Post-hypercare managed services are a separate commercial engagement (AMS).</t>
  </si>
  <si>
    <t>OIC-EXC-010</t>
  </si>
  <si>
    <t>**24x7 Support:** Round-the-clock support for OIC integrations — including evening, overnight, weekend, and public holiday support — is excluded from both the implementation scope and the standard hypercare scope. Extended support hours during hypercare are separately priced.</t>
  </si>
  <si>
    <t>OIC-EXC-011</t>
  </si>
  <si>
    <t>**EDI and AS2 Integrations:** Electronic Data Interchange (EDI) integrations (EDIFACT, X12, or equivalent) and AS2-protocol-based integrations are excluded from standard OIC scope. EDI and AS2 require specialist integration expertise and tooling beyond standard Oracle OIC configuration. Where EDI is required, APPSolve assesses the requirement separately.</t>
  </si>
  <si>
    <t>OIC-EXC-012</t>
  </si>
  <si>
    <t>**Custom Proprietary Protocols:** Integration with systems that communicate only via custom proprietary protocols — protocols not supported by any Oracle OIC adapter, and not exposed as REST, SOAP, SFTP, or database connections — is excluded from standard scope. Assessment is required before such integrations can be scoped.</t>
  </si>
  <si>
    <t>OIC-EXC-013</t>
  </si>
  <si>
    <t>**Message Broker and ESB Replacement Programmes:** Replacing an existing enterprise service bus (ESB) or message broker platform (IBM MQ, MuleSoft, Tibco, WSO2, BizTalk, or equivalent) with Oracle OIC is an enterprise integration architecture programme, not a standard implementation scope item. APPSolve can deliver individual point-to-point integrations that replace specific broker-managed flows; a full ESB migration programme requires separate scoping and architecture planning.</t>
  </si>
  <si>
    <t>OIC-EXC-014</t>
  </si>
  <si>
    <t>**Load Testing and Performance Benchmarking:** Executing structured load tests, measuring OIC throughput at projected peak volumes, or formally benchmarking Oracle OIC against performance SLAs is excluded from standard scope. Load testing is a separately scoped and priced activity.</t>
  </si>
  <si>
    <t>OIC-EXC-015</t>
  </si>
  <si>
    <t>**Custom Monitoring Dashboards:** Building custom monitoring dashboards, integration operations portals, or observability tooling beyond Oracle OIC's native monitoring console is excluded. Third-party monitoring platform integration (Splunk, Dynatrace, Datadog, New Relic, etc.) is excluded.</t>
  </si>
  <si>
    <t>56. Data Mapping Assumptions</t>
  </si>
  <si>
    <t>OIC-MAP-001</t>
  </si>
  <si>
    <t>Business data mapping decisions — which source system field maps to which target system field, and what business rule governs the mapping — are the client's responsibility. The client's functional team or business analyst is the owner of business mapping decisions. APPSolve facilitates mapping workshops, documents the outcomes, and implements the approved mappings in OIC.</t>
  </si>
  <si>
    <t>OIC-MAP-002</t>
  </si>
  <si>
    <t>APPSolve conducts data mapping workshops with the client's functional team during the Scope and Design phase. Workshop outputs: a complete Mapping Specification document listing every source field, target field, transformation rule, and default value for each integration. APPSolve produces the Mapping Specification; the client reviews and approves it.</t>
  </si>
  <si>
    <t>OIC-MAP-003</t>
  </si>
  <si>
    <t>A signed Mapping Specification is a mandatory prerequisite before integration build commences. APPSolve will not commence building an integration whose mapping has not been approved by the client. Where mapping workshops are delayed, the integration build is deferred and the project timeline is extended accordingly.</t>
  </si>
  <si>
    <t>OIC-MAP-004</t>
  </si>
  <si>
    <t>Data transformation logic — including lookups (translating a source code to a target code), calculations (deriving a target value from source values), conditional logic (different mapping rules for different record types), and string manipulations — is implemented by APPSolve in OIC based on the client-approved Mapping Specification. APPSolve does not make business transformation decisions independently.</t>
  </si>
  <si>
    <t>OIC-MAP-005</t>
  </si>
  <si>
    <t>Code-set translations — where source and target systems use different code values for the same business concept (for example, source system uses department code "10" where the target system uses "DEPT-010") — are the client's responsibility to define. The client provides complete source-to-target code mapping tables before the mapping workshop for all applicable code sets (department codes, cost centre codes, employee status codes, pay type codes, location codes, and equivalent). APPSolve implements the translation in OIC based on the client-provided lookup table.</t>
  </si>
  <si>
    <t>OIC-MAP-006</t>
  </si>
  <si>
    <t>Changes to an approved Mapping Specification after integration build has commenced constitute a Change Request. The impact of mapping changes on build, testing, and re-testing effort is assessed and agreed before changes are implemented. Minor mapping corrections (factual errors in the approved mapping) are distinguished from mapping scope changes (new fields, new transformation rules, new code sets) in the Change Request assessment.</t>
  </si>
  <si>
    <t>60. Monitoring Assumptions</t>
  </si>
  <si>
    <t>OIC-MON-001</t>
  </si>
  <si>
    <t>Standard Oracle OIC monitoring capability is configured as part of every OIC implementation. This includes: Oracle OIC Activity Stream (real-time view of integration executions); Oracle OIC Error Management console (view and resubmit failed messages); Oracle OIC Dashboard (integration health summary); and Oracle OIC Alerts (notification of failed integrations). APPSolve configures these standard monitoring tools as part of the implementation.</t>
  </si>
  <si>
    <t>OIC-MON-002</t>
  </si>
  <si>
    <t>APPSolve configures Oracle OIC error notification alerts to send email notifications when an integration fails. Error notification emails are sent to: (1) the customer's nominated integration support mailbox — configured at project outset and confirmed by the client during Scope and Design; and (2) APPSolve's integration support mailbox during the hypercare period only. After hypercare, APPSolve's mailbox is removed from the error notification configuration. Post-hypercare monitoring and error response is the customer's operational team's responsibility unless an APPSolve AMS agreement is in place.</t>
  </si>
  <si>
    <t>OIC-MON-003</t>
  </si>
  <si>
    <t>Custom monitoring dashboards — external to the Oracle OIC native monitoring interface — are excluded from standard scope. This includes: custom BI dashboards showing integration volume or error trends; integration monitoring portals built on top of Oracle OIC data; or Grafana/Kibana-style operational monitoring dashboards. Where a client requires integration monitoring beyond OIC's native tools, this is assessed as a scope addition.</t>
  </si>
  <si>
    <t>OIC-MON-004</t>
  </si>
  <si>
    <t>Third-party monitoring platform integration — connecting Oracle OIC monitoring data to Splunk, Dynatrace, New Relic, Datadog, IBM Instana, or any equivalent observability platform — is excluded from standard OIC scope. Where the client requires third-party observability platform integration, this is assessed as a separately scoped integration.</t>
  </si>
  <si>
    <t>OIC-MON-005</t>
  </si>
  <si>
    <t>Post-go-live monitoring ownership is the client's IT operations team. After hypercare, the client's operations team monitors Oracle OIC error dashboards, responds to alert emails, investigates and resubmits failed messages, and escalates persistent integration failures to Oracle Support or APPSolve AMS (if under a managed services agreement). APPSolve does not actively monitor client OIC environments post-hypercare under a standard implementation contract.</t>
  </si>
  <si>
    <t>58. Performance Assumptions</t>
  </si>
  <si>
    <t>OIC-PERF-001</t>
  </si>
  <si>
    <t>OIC integrations are designed for normal business transaction volumes as defined in the Integration Inventory. The client provides estimated transaction volumes — messages per hour (for real-time integrations), file sizes and record counts (for batch/file-based integrations), and peak volume periods — before the design phase. OIC design assumes these volumes will not be exceeded in production without prior notification and design review.</t>
  </si>
  <si>
    <t>OIC-PERF-002</t>
  </si>
  <si>
    <t>Load testing and stress testing — including testing at projected peak volume, testing at multiples of expected volume to identify breaking points, and sustained-load testing — are excluded from standard OIC scope. Where the client requires load testing, this is assessed and priced as a scope addition.</t>
  </si>
  <si>
    <t>OIC-PERF-003</t>
  </si>
  <si>
    <t>Performance tuning beyond standard Oracle OIC configuration is excluded from standard scope. APPSolve configures Oracle OIC using Oracle's recommended configuration practices. Bespoke performance tuning, custom Oracle OIC instance configuration, or infrastructure-level tuning of Oracle OIC resources are Oracle's responsibility for the managed OIC platform.</t>
  </si>
  <si>
    <t>OIC-PERF-004</t>
  </si>
  <si>
    <t>Oracle OIC Enterprise (B91110) has published message volume limits and platform constraints (messages per hour, maximum payload size, maximum concurrent connections) as defined by Oracle's current product documentation. APPSolve designs integrations within these limits. The client is responsible for selecting an Oracle OIC licence tier (Standard vs Enterprise) that provides sufficient message capacity for their expected volumes. Licence tier selection is the client's commercial decision.</t>
  </si>
  <si>
    <t>OIC-PERF-005</t>
  </si>
  <si>
    <t>Where the estimated transaction volumes provided by the client materially understate actual production volumes (for example, actual volumes exceed estimated volumes by more than 50%), the integration design may require review. APPSolve flags this risk during design if estimated volumes appear atypically low. The client is responsible for providing accurate volume estimates.</t>
  </si>
  <si>
    <t>51. Scope Assumptions</t>
  </si>
  <si>
    <t>OIC-SCP-001</t>
  </si>
  <si>
    <t>APPSolve's scope in Oracle Integration Cloud engagements covers: integration design (technical architecture, connection design, data flow design); integration build (OIC connection configuration, integration flow development, data transformation mapping, error handling); integration testing (SIT execution, UAT support); integration cutover (production deployment, cutover runbook); and hypercare (post-go-live stabilisation). APPSolve does not manage, configure, or support the endpoint systems on either side of the integration.</t>
  </si>
  <si>
    <t>OIC-SCP-002</t>
  </si>
  <si>
    <t>One integration is defined as one directional data flow between one source system and one target system. An integration that sends data from System A to System B is one integration. An integration that returns data from System B to System A is a second, separate integration — two integrations must therefore be scoped, estimated, and priced where a bidirectional flow is required. This definition is the basis for APPSolve's integration count and estimate. Where the client uses the word "integration" to mean a business process spanning multiple flows, each directional flow within that process is counted and priced separately.</t>
  </si>
  <si>
    <t>OIC-SCP-003</t>
  </si>
  <si>
    <t>The number of integrations in scope for an engagement is agreed and documented in an Integration Inventory during the Scope and Design phase. The Integration Inventory lists every integration by: integration ID, source system, target system, integration type (real-time/batch/file-based), trigger mechanism, frequency, and data payload summary. The signed Integration Inventory is the authoritative scope document for OIC work.</t>
  </si>
  <si>
    <t>OIC-SCP-004</t>
  </si>
  <si>
    <t>The client is responsible for holding a valid Oracle Integration Cloud Enterprise (B91110) or Standard (B85207) subscription before integration development commences. APPSolve does not procure, manage, or renew Oracle OIC licences on the client's behalf. The client's Oracle OIC environment must be provisioned and accessible before the build phase commences.</t>
  </si>
  <si>
    <t>OIC-SCP-005</t>
  </si>
  <si>
    <t>APPSolve assumes one (1) Production OIC environment and one (1) standard non-production OIC environment, where these are included in the customer's Oracle OIC licence. APPSolve does not provide, procure, or license Oracle OIC environments. The client confirms that both environments are provisioned and accessible before the build phase commences. Additional OIC environments beyond the standard customer subscription require the client to licence them separately from Oracle.</t>
  </si>
  <si>
    <t>OIC-SCP-006</t>
  </si>
  <si>
    <t>Integrations not listed in the agreed Integration Inventory at the time of SOW execution constitute a scope addition. Each additional integration requires a formal Change Request that re-prices the additional design, build, test, and cutover effort. The Integration Inventory may be updated by mutual agreement during the Scope and Design phase; changes after Scope and Design closure are subject to the Change Request process.</t>
  </si>
  <si>
    <t>OIC-SCP-007</t>
  </si>
  <si>
    <t>Where APPSolve has published OIC accelerators for a specific integration pattern (as documented in W4-INT-001 and OIC_IMPLEMENTATION_PATTERNS.md), the estimate for that integration reflects the accelerator's reuse benefit. The accelerator reduces but does not eliminate design, configuration, and testing effort. The specific effort reduction associated with each accelerator is confirmed in the project estimate.</t>
  </si>
  <si>
    <t>OIC-SCP-008</t>
  </si>
  <si>
    <t>APPSolve implements Oracle-to-Oracle integrations (Oracle HCM ↔ Oracle ERP; Oracle HCM ↔ Oracle OCI; Oracle Fusion ↔ Oracle Analytics Cloud) using Oracle's native integration capabilities where available. Native Oracle-to-Oracle connectivity may use Oracle-delivered OTBI extracts, Oracle Integration Cloud, or Oracle-native REST APIs. The preferred mechanism is confirmed during the Scope and Design phase.</t>
  </si>
  <si>
    <t>54. Security Assumptions</t>
  </si>
  <si>
    <t>OIC-SEC-001</t>
  </si>
  <si>
    <t>The client's IT team is responsible for all endpoint security configuration required to enable OIC connectivity. This includes, but is not limited to: firewall rules permitting outbound and inbound traffic on required ports; IP address whitelisting of Oracle OIC's published IP ranges at third-party endpoints; VPN configuration where required; network access control list (ACL) changes. APPSolve provides Oracle OIC's IP ranges and required port specifications; the client's IT team implements the network configuration.</t>
  </si>
  <si>
    <t>OIC-SEC-002</t>
  </si>
  <si>
    <t>All firewall rule changes required to allow Oracle OIC traffic to reach source or target systems must be completed before SIT commences. Delays in firewall configuration directly delay SIT and extend the project timeline. Timeline impact from delayed firewall changes is the client's risk.</t>
  </si>
  <si>
    <t>OIC-SEC-003</t>
  </si>
  <si>
    <t>Third-party endpoint IP whitelisting — where the third-party vendor must approve Oracle OIC's IP addresses before the connection is permitted — is the client's responsibility to coordinate with the vendor. APPSolve provides the Oracle OIC IP address ranges; the client manages the vendor approval process.</t>
  </si>
  <si>
    <t>OIC-SEC-004</t>
  </si>
  <si>
    <t>APPSolve is responsible for OIC connection configuration within the Oracle OIC platform: configuring connection agents, setting authentication parameters, configuring connection properties, and testing connectivity from OIC to the endpoint. APPSolve is not responsible for network-layer security, infrastructure security, or endpoint system security configuration.</t>
  </si>
  <si>
    <t>OIC-SEC-005</t>
  </si>
  <si>
    <t>The default authentication method for REST-based integrations is OAuth 2.0 (client credentials grant) where supported by the endpoint, or Basic Authentication where OAuth is not available. Alternative authentication methods (API key, JWT bearer token, custom token, certificate-based mutual TLS) are implemented where required by the endpoint. The authentication method is confirmed per endpoint in the Integration Inventory and TDD.</t>
  </si>
  <si>
    <t>OIC-SEC-006</t>
  </si>
  <si>
    <t>Service accounts required for Oracle OIC to authenticate to source and target systems are provisioned by the client's IT team or system administrators. APPSolve specifies the required service account permissions for each integration. Service accounts must be created and credentials provided to APPSolve before the build phase commences. APPSolve does not create user accounts or modify access controls in the endpoint systems.</t>
  </si>
  <si>
    <t>61. Support Assumptions</t>
  </si>
  <si>
    <t>OIC-SUP-001</t>
  </si>
  <si>
    <t>Hypercare for OIC integrations aligns with APPSolve's HCM Base hypercare standard (HCM-HYP-001 through HCM-HYP-003): four (4) weeks' duration; business hours (08:00–17:00 SAST, Monday to Friday); defect resolution and stabilisation only; enhancements, new integrations, and scope additions excluded.</t>
  </si>
  <si>
    <t>OIC-SUP-002</t>
  </si>
  <si>
    <t>OIC hypercare runs concurrently with the primary project's hypercare period. Where OIC is delivered as part of the same project as Oracle HCM or Oracle ERP, the single four-week hypercare period covers both the primary modules and the OIC integrations. The hypercare period commences on the go-live date of the last module or integration to go live in the project. Where OIC is delivered as a standalone project without a primary HCM or ERP module, hypercare commences on the date of the last integration go-live. OIC hypercare does not extend beyond the four-week default unless separately contracted.</t>
  </si>
  <si>
    <t>OIC-SUP-003</t>
  </si>
  <si>
    <t>Integration enhancements during hypercare — including adding new fields to an existing integration, adding new integrations not in the agreed Integration Inventory, changing the integration's frequency or trigger mechanism, or adding new error handling behaviour — are excluded from hypercare scope. These are assessed as Change Requests or as new project work.</t>
  </si>
  <si>
    <t>OIC-SUP-004</t>
  </si>
  <si>
    <t>Third-party vendor API changes — including vendor-initiated API version upgrades, vendor API deprecations, vendor authentication method changes, or vendor endpoint URL changes — that occur during or after hypercare are outside APPSolve's hypercare obligation. The client is responsible for: maintaining the vendor relationship; notifying APPSolve of impending vendor API changes; and engaging APPSolve to assess and implement required integration changes. Integration updates required as a result of vendor-initiated API changes are priced as Change Requests.</t>
  </si>
  <si>
    <t>57. Testing Assumptions</t>
  </si>
  <si>
    <t>OIC-TST-001</t>
  </si>
  <si>
    <t>Two testing cycles are standard for each OIC integration engagement: (1) **System Integration Testing (SIT)** — executed by APPSolve against all endpoints; validates technical connectivity, data format, transformation logic, error handling, and integration flow behaviour; (2) **User Acceptance Testing (UAT)** — executed by the client's functional team with APPSolve support; validates that the integration meets business requirements and end-to-end business processes work as expected.</t>
  </si>
  <si>
    <t>OIC-TST-002</t>
  </si>
  <si>
    <t>The client provides all test data required for SIT and UAT before testing commences. Test data must be realistic (representative of actual production transactions) and must cover positive scenarios (successful transactions), negative scenarios (invalid data, missing mandatory fields), and edge cases (extreme values, boundary conditions) as agreed in the test plan. APPSolve does not source, create, or validate test data on the client's behalf.</t>
  </si>
  <si>
    <t>OIC-TST-003</t>
  </si>
  <si>
    <t>APPSolve executes SIT and produces SIT test results for each integration. UAT is executed by the client's designated UAT testers. APPSolve provides UAT support: attending UAT sessions, investigating defects raised during UAT, and resolving build defects (defects caused by APPSolve's implementation). APPSolve does not execute UAT on behalf of the client.</t>
  </si>
  <si>
    <t>OIC-TST-004</t>
  </si>
  <si>
    <t>APPSolve classifies defects raised during testing as follows: (a) **Build defects** — caused by APPSolve's implementation (incorrect transformation logic, incorrect OIC configuration, error handling failures) — resolved by APPSolve at no additional charge; (b) **Data defects** — caused by incorrect or incomplete test data provided by the client — the client's responsibility to resolve; (c) **Mapping defects** — caused by incorrect business mapping decisions (which may require a Mapping Specification amendment) — assessed as a mapping change; (d) **Vendor defects** — caused by the third-party endpoint (API errors, incorrect API documentation, unstable sandbox) — the vendor's and client's responsibility to resolve.</t>
  </si>
  <si>
    <t>OIC-TST-005</t>
  </si>
  <si>
    <t>The client signs off SIT completion before UAT commences, and signs off UAT completion before production cutover proceeds. APPSolve does not proceed to the next test phase or to cutover without written client sign-off on the completion of the preceding phase. Sign-off may be provided by email from the client's designated project sponsor or project manager.</t>
  </si>
  <si>
    <t>OIC-TST-006</t>
  </si>
  <si>
    <t>The client is responsible for coordinating third-party vendor participation in integration testing where the integration connects to a non-Oracle system. If a third-party vendor is not available during the agreed SIT testing window, SIT for that integration is deferred. APPSolve is not responsible for delays caused by third-party vendor unavailability during testing.</t>
  </si>
  <si>
    <t>Oracle ERP</t>
  </si>
  <si>
    <t>68. Oracle Fusion Accounts Payable</t>
  </si>
  <si>
    <t>ERP-AP-001</t>
  </si>
  <si>
    <t>Supplier master data is migrated from the client's source system as part of the data migration scope. The client provides all supplier master data — including legal name, registration number, tax registration number, bank account details, payment terms, and address — in APPSolve's FBDI supplier template. APPSolve loads and validates the supplier data in Oracle ERP.</t>
  </si>
  <si>
    <t>ERP-AP-002</t>
  </si>
  <si>
    <t>Manual invoice entry is the default AP invoice processing approach. Automated invoice capture — OCR-based invoice imaging, intelligent document processing, e-invoicing via supplier networks (Ariba Network, Tungsten/OB10, or equivalent) — is excluded from base scope. Where the client requires automated invoice capture, this is assessed as a scope addition.</t>
  </si>
  <si>
    <t>ERP-AP-003</t>
  </si>
  <si>
    <t>Three-way match (PO / Goods Receipt Note / Invoice) is the APPSolve default for purchase-order-based supplier invoices where Oracle Procurement and Oracle Receiving are both in scope. Three-way match validates that the invoice quantity and amount match both the approved PO and the confirmed goods receipt before the invoice is approved for payment. Two-way match (PO / Invoice only, without a goods receipt) may be used only where Oracle Receiving is not in the BOM scope, or where the client explicitly confirms that their purchasing process does not use goods receipt confirmation. The matching approach is confirmed in the Scope and Design phase and documented in the AP configuration design.</t>
  </si>
  <si>
    <t>ERP-AP-004</t>
  </si>
  <si>
    <t>Non-PO invoices (invoices without a corresponding purchase order — typically for services, utilities, rent, and overhead costs) are entered via Oracle AP's direct invoice entry workflow. The non-PO invoice approval routing is designed in the Scope and Design phase. One standard non-PO invoice approval workflow is included.</t>
  </si>
  <si>
    <t>ERP-AP-005</t>
  </si>
  <si>
    <t>Payment processing: APPSolve configures Oracle AP for EFT (electronic funds transfer) payments to South African bank accounts using the standard South African EFT payment format. The specific bank payment format file specification is confirmed with the client's bank before AP payment configuration commences. Where BeBanking is in scope, payment file generation and bank submission are facilitated via the BeBanking H2H integration (see OIC pack).</t>
  </si>
  <si>
    <t>ERP-AP-006</t>
  </si>
  <si>
    <t>Payment terms (standard supplier payment terms — 30 days, 60 days, net immediate, etc.) are configured in Oracle AP based on the list of payment terms provided by the client. APPSolve configures all payment terms provided by the client; it does not define the client's payment terms policy.</t>
  </si>
  <si>
    <t>ERP-AP-007</t>
  </si>
  <si>
    <t>Oracle Supplier Portal — enabling suppliers to submit invoices electronically, view PO status, and update their own profile — is excluded from base scope. The Supplier Portal requires Oracle Supplier Portal Cloud Service (separately licensed) and an integration setup. Where Supplier Portal is required, it is assessed and priced as a scope addition.</t>
  </si>
  <si>
    <t>69. Oracle Fusion Accounts Receivable</t>
  </si>
  <si>
    <t>ERP-AR-001</t>
  </si>
  <si>
    <t>Customer master data is migrated from the client's source system as part of the data migration scope. The client provides customer data — legal name, account number, address, payment terms, credit limit, and tax details — in APPSolve's FBDI customer template.</t>
  </si>
  <si>
    <t>ERP-AR-002</t>
  </si>
  <si>
    <t>Oracle AR transaction types (invoice, credit memo, debit memo) and transaction sources are configured per the client's billing processes confirmed in the Scope and Design phase. APPSolve configures the transaction type library; the client confirms which transaction types are required.</t>
  </si>
  <si>
    <t>ERP-AR-003</t>
  </si>
  <si>
    <t>Auto-invoicing — importing invoice transactions from another Oracle module (Oracle Fusion PPM, Oracle Order Management, or another source system) — is included in standard AR scope where the source system is an Oracle module in the same implementation. Auto-invoicing from a non-Oracle source requires an OIC integration (see OIC pack).</t>
  </si>
  <si>
    <t>ERP-AR-004</t>
  </si>
  <si>
    <t>Cash application: Oracle AR is configured with standard auto-cash rules for EFT receipts — matching receipts to open invoices by invoice number or customer account. Complex cash application scenarios (foreign currency receipts, partial payments with deduction management, lockbox processing for high-volume B2C receipts) are assessed per complexity.</t>
  </si>
  <si>
    <t>ERP-AR-005</t>
  </si>
  <si>
    <t>Oracle AR Collections Management — automated dunning letter generation, collection strategy assignment, and aged debt reporting — is an Oracle-delivered platform feature. APPSolve configures the collections framework (dunning letter templates, collection strategies) as part of the standard AR implementation. The client's credit control team manages collections activity post-go-live.</t>
  </si>
  <si>
    <t>71. Oracle Fusion Cash Management</t>
  </si>
  <si>
    <t>ERP-CM-001</t>
  </si>
  <si>
    <t>Oracle Cash Management is configured for bank reconciliation. APPSolve configures bank accounts in Oracle CM, defines reconciliation rules, and enables the bank statement import capability. Manual bank reconciliation (bank officer manually reconciles bank statement to Oracle cash entries) and automated reconciliation (via electronic bank statement import) are both supported.</t>
  </si>
  <si>
    <t>ERP-CM-002</t>
  </si>
  <si>
    <t>Bank statement import format is confirmed with the client's bank. Oracle CM supports ISO 20022 camt.053 and SWIFT MT940 as standard formats for electronic bank statement import. Where the bank uses a proprietary format not supported by Oracle natively, a format conversion is assessed. Where BeBanking is in scope, MT940 inbound via the BeBanking integration is the standard mechanism (see OIC pack).</t>
  </si>
  <si>
    <t>ERP-CM-003</t>
  </si>
  <si>
    <t>Cash positioning and cash forecasting capabilities are Oracle-delivered platform features within Oracle CM. APPSolve enables and configures cash positioning as part of the standard CM implementation. The accuracy of cash forecasts depends on the completeness of Oracle AP payment schedules and AR expected receipt data.</t>
  </si>
  <si>
    <t>ERP-CM-004</t>
  </si>
  <si>
    <t>Where BeBanking H2H bank connectivity is in scope (B86481 + BeBanking BOM), the MT940 bank statement inbound integration from BeBanking to Oracle CM is configured as part of the BeBanking OIC integration scope (OIC pack OIC-SCP-001). The Oracle CM bank account and reconciliation rules are configured as part of the ERP Financials scope.</t>
  </si>
  <si>
    <t>83. Customer Responsibilities</t>
  </si>
  <si>
    <t>ERP-CUS-001</t>
  </si>
  <si>
    <t>**Executive Sponsorship:** The client appoints an ERP project sponsor with authority to make business decisions affecting the ERP implementation: approving scope, resolving escalated design issues, authorising go-live, and driving internal change management. Without an empowered sponsor, design decisions stall.</t>
  </si>
  <si>
    <t>ERP-CUS-002</t>
  </si>
  <si>
    <t>**Functional Team:** The client appoints functional leads for each module in scope (Finance Lead for GL/AP/AR/FA/CM; Procurement Lead for Procurement; PPM Lead for Projects). Functional leads are available for the full project duration, attend all workshops and CRP sessions, make business decisions in their domain, and provide sign-off at each milestone.</t>
  </si>
  <si>
    <t>ERP-CUS-003</t>
  </si>
  <si>
    <t>**Chart of Accounts Design:** The COA structure — segments, value sets, and code combination values — is the client's most critical deliverable in the Scope and Design phase. The client's finance team provides the COA design (or APPSolve facilitates COA design workshops and the client approves the output) before COA configuration commences. COA delays cascade to all downstream configuration.</t>
  </si>
  <si>
    <t>ERP-CUS-004</t>
  </si>
  <si>
    <t>**Data Provision:** The client extracts, cleanses, and provides all migration data in APPSolve's FBDI templates by the dates agreed in the project plan. Suppliers, customers, fixed assets, open payables, open receivables, open purchase orders, and projects — all data objects require client preparation. Late or incomplete data provision directly delays the go-live date.</t>
  </si>
  <si>
    <t>ERP-CUS-005</t>
  </si>
  <si>
    <t>**Data Cleansing:** The client cleanses and validates source data before providing it to APPSolve. This includes: removing duplicate supplier or customer records; populating mandatory fields; correcting incorrect account codes; updating inactive or blocked records; and confirming bank account details. APPSolve does not cleanse source data.</t>
  </si>
  <si>
    <t>ERP-CUS-006</t>
  </si>
  <si>
    <t>**Business Process Decisions:** The client's functional team makes all business process decisions required during the Scope and Design phase: which transaction types to use; how approval workflows should route; what payment terms to configure; which cost centres to include in the COA; how project billing works. APPSolve facilitates and documents; the client decides.</t>
  </si>
  <si>
    <t>ERP-CUS-007</t>
  </si>
  <si>
    <t>**Authority Matrix:** The client provides the complete, approved authority matrix for all transaction types requiring approval — purchase requisitions, purchase orders, supplier invoices, journals, capex requests — before workflow configuration commences. The authority matrix must be authorised by the appropriate governance authority (CFO, CEO, or Finance Director).</t>
  </si>
  <si>
    <t>ERP-CUS-008</t>
  </si>
  <si>
    <t>**Tax Configuration Information:** The client's tax team provides all tax configuration requirements: SA VAT registration number; applicable VAT rates and tax classifications (standard-rated, zero-rated, exempt, out-of-scope); withholding tax requirements; and any industry-specific tax treatment. APPSolve configures Oracle ERP tax based on this information; it does not provide tax advice.</t>
  </si>
  <si>
    <t>ERP-CUS-009</t>
  </si>
  <si>
    <t>**Statutory Compliance Responsibility:** The client's finance and tax team is responsible for ensuring Oracle ERP configuration meets applicable statutory and regulatory requirements: Companies Act reporting, SARS VAT/PAYE requirements, IFRS or GAAP compliance, and any industry-specific regulations. APPSolve configures Oracle ERP based on requirements provided by the client; it does not provide tax, legal, or audit advice.</t>
  </si>
  <si>
    <t>ERP-CUS-010</t>
  </si>
  <si>
    <t>**Testing Participation:** The client's functional team and user community participate in CRP1, CRP2, and UAT. The client provides test data, supplies UAT testers, executes UAT scenarios, logs defects, and provides written sign-off at each testing milestone.</t>
  </si>
  <si>
    <t>ERP-CUS-011</t>
  </si>
  <si>
    <t>**Training Delivery:** The client is responsible for end-user training delivery, scheduling, communication, and adoption measurement. APPSolve trains the client's trainers (TTT); the client's trainers deliver to end users. The client provides training venue, equipment, and scheduling logistics.</t>
  </si>
  <si>
    <t>ERP-CUS-012</t>
  </si>
  <si>
    <t>**Change Management:** Internal change management — communicating the ERP project to employees, managing transition from the legacy system, addressing adoption challenges, and measuring post-go-live adoption — is the client's leadership and HR responsibility. APPSolve provides implementation expertise; it does not run change management programmes.</t>
  </si>
  <si>
    <t>81. Cutover Assumptions</t>
  </si>
  <si>
    <t>ERP-CUT-001</t>
  </si>
  <si>
    <t>One production cutover event is included. The cutover approach (big-bang cutover of all modules on one date, or phased module go-live) is confirmed in the Scope and Design phase and documented in the cutover plan. APPSolve recommends big-bang cutover for Oracle ERP where the modules are highly interdependent (GL, AP, AR in the same ledger must typically go live together).</t>
  </si>
  <si>
    <t>ERP-CUT-002</t>
  </si>
  <si>
    <t>APPSolve produces a cutover runbook covering: pre-cutover steps (legacy system transaction freeze, final FBDI data extract, data validation, non-production mock run completion); cutover day steps (FBDI production load execution, opening balance verification, connectivity testing, integration activation); and go-live confirmation criteria (trial balance agrees, AP supplier list loaded, AR customer list loaded, open transaction count reconciled).</t>
  </si>
  <si>
    <t>ERP-CUT-003</t>
  </si>
  <si>
    <t>Legacy system transaction freeze: the client implements a freeze on new transaction entry in the legacy system for the period required to extract final migration data and complete the FBDI load. The freeze duration is determined by the data volume and migration complexity. The client manages the internal communication and business impact of the freeze period.</t>
  </si>
  <si>
    <t>ERP-CUT-004</t>
  </si>
  <si>
    <t>Go-live decision is made by the client's ERP project sponsor based on APPSolve's technical go/no-go assessment. APPSolve provides a written go/no-go recommendation; the final go-live decision rests with the client's project sponsor.</t>
  </si>
  <si>
    <t>ERP-CUT-005</t>
  </si>
  <si>
    <t>ERP parallel running is excluded by default. Parallel running — simultaneously operating the legacy ERP and Oracle Fusion ERP for a period after go-live, with transaction reconciliation between both systems — is not included in the base scope. A short controlled validation period (typically five to ten business days, limited to trial balance and opening balance verification only, not full operational parallel close) may be included where this is explicitly stated in the proposal scope section. Full parallel financial close cycles — completing a full month-end close in both legacy and Oracle ERP simultaneously — are excluded unless separately scoped and priced. The commercial and resource implications of any parallel activity must be agreed before the SOW is executed.</t>
  </si>
  <si>
    <t>75. Data Migration</t>
  </si>
  <si>
    <t>ERP-DAT-001</t>
  </si>
  <si>
    <t>Data migration follows Oracle's File-Based Data Import (FBDI) framework for all standard Oracle ERP data objects. APPSolve provides FBDI templates for each data object in scope; the client populates these templates with data extracted from the source system. APPSolve loads and validates the data in Oracle ERP.</t>
  </si>
  <si>
    <t>ERP-DAT-002</t>
  </si>
  <si>
    <t>Standard migrated data objects for Oracle Fusion ERP (subject to BOM and scope confirmation): Chart of Accounts value sets and code combinations; suppliers (AP); customers (AR); open AP invoices and payment schedules; open AR invoices and receipt applications; fixed asset register (opening balance); projects and project budgets (PPM); open purchase orders (Procurement).</t>
  </si>
  <si>
    <t>ERP-DAT-003</t>
  </si>
  <si>
    <t>Historical transaction data is not migrated. Opening balances are migrated as at the agreed cut-over date. This means: historical GL journals (prior periods) are not in Oracle ERP; historical paid AP invoices are not in Oracle ERP; historical closed AR invoices are not in Oracle ERP. The client's legacy system is the system of record for historical data.</t>
  </si>
  <si>
    <t>ERP-DAT-004</t>
  </si>
  <si>
    <t>Data extraction from the source (legacy) system is the client's responsibility. APPSolve provides the FBDI templates and format specifications. The client's IT team or legacy system administrator extracts data from the legacy system and populates the FBDI templates. APPSolve is available for template guidance but does not extract data from legacy systems.</t>
  </si>
  <si>
    <t>ERP-DAT-005</t>
  </si>
  <si>
    <t>Data quality and cleansing is the client's responsibility before data is provided to APPSolve. Data provided to APPSolve must be: de-duplicated (no duplicate supplier or customer records); complete (all mandatory fields populated); accurate (values match the business reality); and correctly coded (GL codes, cost centres, and project codes aligned to the agreed COA). APPSolve validates that data loads correctly into Oracle ERP; it does not validate the business accuracy of source data.</t>
  </si>
  <si>
    <t>ERP-DAT-006</t>
  </si>
  <si>
    <t>Two migration cycles are standard: (1) Mock Migration 1 — executed in the non-production environment to test the FBDI load process, identify data issues, and allow the client to correct data; (2) Mock Migration 2 — a repeat mock run after data corrections, validating that all issues from Mock 1 are resolved; (3) Final Migration — executed in the production environment at go-live. A total of two mock cycles plus one final production migration is the APPSolve base scope. Additional migration cycles beyond two mocks require a change control approval and are priced per additional cycle.</t>
  </si>
  <si>
    <t>ERP-DAT-007</t>
  </si>
  <si>
    <t>Tax registration data — VAT registration numbers, income tax reference numbers, customs registration numbers, and PAYE reference numbers — is configured in Oracle ERP as part of the legal entity and tax setup. The client provides all tax registration information before legal entity and tax configuration commences.</t>
  </si>
  <si>
    <t>84. Exclusions</t>
  </si>
  <si>
    <t>ERP-EXC-001</t>
  </si>
  <si>
    <t>**Oracle Fusion Global Payroll:** Native Oracle payroll processing (gross-to-net calculation, payslip generation, PAYE submission) is excluded. South African payroll is managed by a third-party payroll provider (PaySpace, Sage 300 People, VIP Premier, or equivalent) integrated via OIC.</t>
  </si>
  <si>
    <t>ERP-EXC-002</t>
  </si>
  <si>
    <t>**Oracle Fusion Expenses:** Employee expense claim management (Oracle Fusion Expenses Cloud Service) is excluded from base ERP scope unless explicitly included in the Oracle BOM. Where Oracle Expenses is required, it is separately licensed and separately scoped.</t>
  </si>
  <si>
    <t>ERP-EXC-003</t>
  </si>
  <si>
    <t>**SARS eFiling Integration:** SARS eFiling integration is not an APPSolve standard ERP capability and is excluded unless specifically scoped as a custom integration (see ERP-INT-005). Oracle Fusion ERP does not integrate natively with the SARS eFiling portal. VAT201, PAYE EMP201, and provisional tax return submission are the client's tax team's responsibility. Tax reporting data extracts from Oracle OTBI to support the client's eFiling process may be included where explicitly listed in the proposal.</t>
  </si>
  <si>
    <t>ERP-EXC-004</t>
  </si>
  <si>
    <t>**Formal SoD Analysis and Remediation:** Systematic SoD conflict identification, user access risk reporting, and SoD remediation using Oracle Access Controls Governor, Fastpath, or equivalent is excluded from base scope.</t>
  </si>
  <si>
    <t>ERP-EXC-005</t>
  </si>
  <si>
    <t>**Oracle Supplier Portal:** Supplier self-service for invoice submission, PO acknowledgement, and supplier profile management is excluded. Requires separate Oracle licence and separately scoped OIC integration.</t>
  </si>
  <si>
    <t>ERP-EXC-006</t>
  </si>
  <si>
    <t>**Oracle Fusion Risk Management (Advanced Controls):** Oracle's risk management and financial reporting compliance product is separately licensed and excluded from base ERP scope.</t>
  </si>
  <si>
    <t>ERP-EXC-007</t>
  </si>
  <si>
    <t>**Legacy System Decommissioning:** Shutdown, data archiving, and decommissioning of the client's legacy ERP system after Oracle go-live is the client's responsibility and is excluded from this engagement.</t>
  </si>
  <si>
    <t>ERP-EXC-008</t>
  </si>
  <si>
    <t>**Parallel Running:** Simultaneous operation of the legacy ERP and Oracle Fusion ERP post-go-live is excluded from base scope. See ERP-CUT-005.</t>
  </si>
  <si>
    <t>ERP-EXC-009</t>
  </si>
  <si>
    <t>**Business Process Redesign:** Designing new or fundamentally different business processes is excluded. APPSolve configures Oracle ERP to support the agreed future-state processes confirmed in Scope and Design. Business process redesign consulting is separate from ERP implementation.</t>
  </si>
  <si>
    <t>ERP-EXC-010</t>
  </si>
  <si>
    <t>**Invoice OCR and Intelligent Document Capture:** Automated invoice image capture, OCR data extraction, and AI-powered invoice processing are excluded from base scope. Standard AP scope is manual invoice entry.</t>
  </si>
  <si>
    <t>ERP-EXC-011</t>
  </si>
  <si>
    <t>**Oracle Revenue Management Cloud (IFRS 15 / ASC 606 Complex Scenarios):** Complex revenue recognition — multiple-element arrangements, variable consideration, licence vs service distinction, contract modification accounting — may require Oracle Revenue Management Cloud (separately licensed). Standard Oracle AR revenue recognition is included; IFRS 15 complex scenarios require assessment.</t>
  </si>
  <si>
    <t>ERP-EXC-012</t>
  </si>
  <si>
    <t>**Audit Deliverables and CAAT Reports:** Producing audit deliverables, Computer Assisted Audit Techniques (CAAT) reports, or auditor-specific testing reports for external or internal auditors is excluded. Standard Oracle OTBI reports are available for audit support; bespoke audit deliverables are not in implementation scope.</t>
  </si>
  <si>
    <t>70. Oracle Fusion Fixed Assets</t>
  </si>
  <si>
    <t>ERP-FA-001</t>
  </si>
  <si>
    <t>APPSolve configures Oracle FA asset categories (the grouping structure that defines default depreciation rules for each asset type), depreciation methods, useful life assignments, and the asset book structure. The client provides the complete list of asset categories with their depreciation rules before FA configuration commences.</t>
  </si>
  <si>
    <t>ERP-FA-002</t>
  </si>
  <si>
    <t>Fixed asset migration standard is opening balance only as at the go-live date. The opening balance migration includes: asset description, asset cost (original cost), net book value (NBV) at go-live, accumulated depreciation at go-live, and remaining useful life. Detailed historical asset transactions — period-by-period depreciation run history, historical revaluation journals, historical impairment entries, and asset additions/disposals prior to go-live — are not migrated. The client's legacy asset system is retained as the system of record for historical fixed asset data. The client is required to provide the current, reconciled asset register (including cost, accumulated depreciation, and NBV per asset) before migration commences. Migration cannot proceed without a client-approved asset register.</t>
  </si>
  <si>
    <t>ERP-FA-003</t>
  </si>
  <si>
    <t>Oracle FA is configured to run periodic (monthly) depreciation as a batch process. The client's finance team runs the depreciation process in Oracle after period-end close. APPSolve configures the depreciation process; the client's finance team operates it post-go-live.</t>
  </si>
  <si>
    <t>ERP-FA-004</t>
  </si>
  <si>
    <t>Capital expenditure approval (the workflow for approving a capital purchase before the asset is created in Oracle FA) is configured as one standard capex approval workflow. The approval routing is based on the client's confirmed authority matrix.</t>
  </si>
  <si>
    <t>ERP-FA-005</t>
  </si>
  <si>
    <t>A tax asset book (tracking assets for tax depreciation purposes separately from the accounting asset book) is assessed per engagement. Where South African tax depreciation allowances (Section 11/12 SITA, accelerated depreciation, SBC allowances) require separate tracking from accounting depreciation, a tax book is added to the design.</t>
  </si>
  <si>
    <t>66. General ERP Scope Assumptions</t>
  </si>
  <si>
    <t>ERP-GEN-001</t>
  </si>
  <si>
    <t>APPSolve's scope in Oracle Fusion ERP engagements covers: configuration design (Chart of Accounts, ledger structure, module setup); system configuration (applying the agreed design in Oracle ERP); data migration (FBDI load of agreed data objects); integration setup (where in scope — governed by OIC pack); testing support (CRP1, CRP2, UAT support); training delivery (TTT); cutover execution; and hypercare. APPSolve does not manage, administer, or operate the client's business processes post-go-live.</t>
  </si>
  <si>
    <t>ERP-GEN-002</t>
  </si>
  <si>
    <t>APPSolve's Oracle ERP implementations follow the Oracle Unified Method (OUM): Mobilize → Scope and Design → Prototype → Validate → Deploy → Evolve. The Customer Success Navigator (CSN) accelerates delivery within OUM. Each phase has defined deliverables and client approval gates.</t>
  </si>
  <si>
    <t>ERP-GEN-003</t>
  </si>
  <si>
    <t>Modules in scope are confirmed by the Oracle BOM signed at the time of SOW execution. Modules not in the signed BOM are excluded from scope. Where the client adds a module after SOW execution, the additional module is assessed and priced as a Change Request.</t>
  </si>
  <si>
    <t>ERP-GEN-004</t>
  </si>
  <si>
    <t>Oracle Fusion ERP is delivered as a SaaS platform by Oracle. APPSolve configures the platform; Oracle operates it. The client receives one Production environment and at least one non-production (test) environment under the standard Oracle SaaS subscription. APPSolve does not procure, manage, or operate Oracle ERP infrastructure.</t>
  </si>
  <si>
    <t>ERP-GEN-005</t>
  </si>
  <si>
    <t>Oracle Fusion ERP implementations are configuration-based. APPSolve uses Oracle-delivered configuration tools (Setup and Maintenance, BPM Worklist, Application Composer). Custom code development — Oracle APEX extensions, Oracle PaaS customisations, Groovy scripts beyond standard Oracle ERP configuration — is assessed as a separately scoped item.</t>
  </si>
  <si>
    <t>ERP-GEN-006</t>
  </si>
  <si>
    <t>Oracle Fusion ERP receives quarterly updates from Oracle as part of the SaaS subscription. Oracle manages the update schedule. APPSolve provides implementation services; ongoing update management and regression testing post-go-live are the client's responsibility unless an APPSolve AMS agreement covers this.</t>
  </si>
  <si>
    <t>ERP-GEN-007</t>
  </si>
  <si>
    <t>The Chart of Accounts (COA) design is the most critical early Scope and Design decision in an Oracle ERP Financials implementation. All downstream configuration — ledger setup, cross-validation rules, financial reporting, cost centre hierarchy, budget structure — depends on an approved COA. Delays to COA sign-off cascade to all dependent configuration streams. COA design must be signed off by the client before ledger configuration commences.</t>
  </si>
  <si>
    <t>ERP-GEN-008</t>
  </si>
  <si>
    <t>The client's legal entity structure (company code, legal entity names, business unit structure) must be confirmed and stable before legal entity configuration commences. Changes to the legal entity structure after legal entity configuration is complete may require significant rework. APPSolve flags legal entity design changes as a project risk with scope impact.</t>
  </si>
  <si>
    <t>67. Oracle Fusion Financials — General Ledger</t>
  </si>
  <si>
    <t>ERP-GL-001</t>
  </si>
  <si>
    <t>APPSolve configures one primary ledger per legal entity. A primary ledger holds the main accounting records in the functional currency. Secondary ledgers — including reporting currency ledgers, IFRS vs local GAAP adjustment ledgers, and any additional statutory or management accounting ledgers — are excluded from base scope unless explicitly listed in the proposal and SOW. Where secondary ledgers are required, their design, configuration, and testing effort is separately assessed and priced.</t>
  </si>
  <si>
    <t>ERP-GL-002</t>
  </si>
  <si>
    <t>The client is responsible for defining the Chart of Accounts structure: the segment names, segment lengths, value set definitions, and the complete list of code combination values for each segment. APPSolve configures the COA in Oracle ERP based on the client-approved COA design. APPSolve facilitates COA design workshops; it does not design the client's COA from scratch.</t>
  </si>
  <si>
    <t>ERP-GL-003</t>
  </si>
  <si>
    <t>The default Chart of Accounts structure includes up to six (6) segments: Company/Entity, Department, Account (Natural Account), Cost Centre, Project, and one additional segment confirmed in the Scope and Design phase. Additional segments beyond six require assessment and may affect reporting and cross-validation rule complexity. The client confirms the final segment structure before COA configuration commences.</t>
  </si>
  <si>
    <t>ERP-GL-004</t>
  </si>
  <si>
    <t>The client provides the financial calendar — accounting year-end month, period type (monthly, 12 periods per year is the standard), and the financial year start date — before ledger configuration commences. APPSolve configures the Oracle accounting calendar per the client's confirmed specifications.</t>
  </si>
  <si>
    <t>ERP-GL-005</t>
  </si>
  <si>
    <t>The functional currency (the currency in which each legal entity conducts its primary business and keeps its books of account) is confirmed per legal entity before ledger configuration commences. For South African operations, the functional currency is ZAR. Where a legal entity operates in a foreign currency, the functional currency, presentation currency, and currency conversion method are confirmed in the Scope and Design phase.</t>
  </si>
  <si>
    <t>ERP-GL-006</t>
  </si>
  <si>
    <t>Intercompany accounting is excluded from base GL scope unless explicitly listed in the proposal. Basic balancing segment design — configuring the primary balancing segment so that Oracle ERP automatically balances intercompany entries — may be included as part of the standard COA and ledger configuration. Full intercompany accounting scope (intercompany accounting rules, intercompany invoicing, intercompany reconciliation workflows, multi-lateral netting, and consolidation eliminations) requires a separately scoped and priced engagement.</t>
  </si>
  <si>
    <t>ERP-GL-007</t>
  </si>
  <si>
    <t>APPSolve configures one (1) standard journal approval workflow per Oracle ERP instance. The journal approval workflow routes manual journal entries through an approval chain before posting. Additional journal approval workflows (for example, separate workflows per business unit, per journal category, or per ledger) constitute a Change Request.</t>
  </si>
  <si>
    <t>ERP-GL-008</t>
  </si>
  <si>
    <t>Financial reporting: APPSolve configures Financial Reporting Studio (FRS) reports covering the client's agreed standard financial statement pack (Income Statement, Balance Sheet, Trial Balance, and Cash Flow Statement where required). The number of FRS reports agreed is documented in the Scope and Design deliverables. Additional financial reports beyond the agreed scope are Change Requests.</t>
  </si>
  <si>
    <t>82. Hypercare Assumptions</t>
  </si>
  <si>
    <t>ERP-HYP-001</t>
  </si>
  <si>
    <t>ERP hypercare aligns to the APPSolve standard: four (4) weeks duration; business hours (08:00–17:00 SAST Monday–Friday); defect resolution and system stabilisation only. HCM Base assumptions HCM-HYP-001, HCM-HYP-002, and HCM-HYP-003 apply equally to Oracle Fusion ERP engagements.</t>
  </si>
  <si>
    <t>ERP-HYP-002</t>
  </si>
  <si>
    <t>Where Oracle ERP and Oracle HCM and/or OIC integrations are delivered in the same project, hypercare is a single concurrent four-week period covering all modules and integrations. HCM Base HCM-HYP-001 and OIC pack OIC-SUP-002 apply.</t>
  </si>
  <si>
    <t>ERP-HYP-003</t>
  </si>
  <si>
    <t>Enhancements and scope additions during hypercare are excluded. This includes: adding new GL accounts or COA segments post-go-live, adding new approval workflows, adding new OTBI reports beyond the agreed scope, and adding new modules not in the original BOM. These are assessed as Change Requests or new project work.</t>
  </si>
  <si>
    <t>ERP-HYP-004</t>
  </si>
  <si>
    <t>Period-end close support during hypercare: APPSolve provides hypercare support during the first month-end close after go-live. If the hypercare period ends before the first month-end close, APPSolve will extend hypercare to cover the first month-end close at the standard daily hypercare rate. This ensures the client has APPSolve support during the most operationally critical post-go-live event.</t>
  </si>
  <si>
    <t>76. Integration Assumptions (ERP-Specific)</t>
  </si>
  <si>
    <t>ERP-INT-001</t>
  </si>
  <si>
    <t>All ERP integrations to third-party systems are governed by `OIC_ASSUMPTIONS_V1.md`. This section defines ERP-specific integration scope boundaries and Oracle-native integration points that do not require OIC.</t>
  </si>
  <si>
    <t>ERP-INT-002</t>
  </si>
  <si>
    <t>Oracle Fusion ERP to Oracle Fusion HCM (where both modules are in scope in the same project): the ERP-HCM integration uses Oracle-native REST APIs and Oracle-delivered integration patterns. This is not a separately scoped OIC integration; it is included in the combined HCM + ERP implementation scope.</t>
  </si>
  <si>
    <t>ERP-INT-003</t>
  </si>
  <si>
    <t>Within Oracle Fusion ERP, inter-module integration (for example: AP to GL subledger accounting posting; Procurement to AP invoice matching; PPM cost to GL) uses Oracle-native subledger accounting and integration architecture. These are not separately scoped OIC integrations.</t>
  </si>
  <si>
    <t>ERP-INT-004</t>
  </si>
  <si>
    <t>Bank connectivity — EFT payment file generation and bank statement import — is facilitated via BeBanking H2H (where BeBanking is in scope) or via direct bank file format integration where BeBanking is not in scope. Each payment format (different bank or different payment type) constitutes one OIC integration (see OIC_ASSUMPTIONS_V1.md OIC-SCP-002).</t>
  </si>
  <si>
    <t>ERP-INT-005</t>
  </si>
  <si>
    <t>SARS eFiling integration is not an APPSolve standard ERP capability and is excluded from scope unless specifically contracted as a custom integration engagement. Oracle Fusion ERP does not have a native integration to the SARS eFiling portal. Automated submission of VAT201, PAYE EMP201, or provisional tax returns to SARS is the client's tax team's responsibility using their preferred submission method (manual eFiling, tax software, or separately contracted integration). Tax reporting data extracts — OTBI-based VAT reports or GL tax reports to support the client's manual eFiling process — may be included in scope where explicitly listed in the proposal.</t>
  </si>
  <si>
    <t>73. Oracle Fusion Project Portfolio Management (PPM)</t>
  </si>
  <si>
    <t>ERP-PPM-001</t>
  </si>
  <si>
    <t>Oracle Fusion PPM modules in scope are confirmed by the BOM. Standard PPM scope includes Project Costing (B86483) — project creation and maintenance, cost collection, project reporting. Where Oracle Project Billing is in scope, billing events and revenue recognition are added.</t>
  </si>
  <si>
    <t>ERP-PPM-002</t>
  </si>
  <si>
    <t>Project types and project templates are designed in the Scope and Design phase. The client provides the project classification structure (project types, project statuses, project categories) and the template for each project type before PPM configuration commences. APPSolve configures the Oracle PPM project type library based on the client's confirmed structure.</t>
  </si>
  <si>
    <t>ERP-PPM-003</t>
  </si>
  <si>
    <t>Project costing: cost transactions are collected against projects using Oracle's standard cost collection mechanisms — labour costs (via Oracle Time and Labour or manual timecard entry), non-labour costs (via Oracle AP invoice line distribution to a project), and expense costs (where Oracle Expenses is in scope). The costing design is confirmed in the Scope and Design phase.</t>
  </si>
  <si>
    <t>ERP-PPM-004</t>
  </si>
  <si>
    <t>Project budgeting: Oracle PPM supports project-level budgets and forecasts. APPSolve configures the budget type structure and budget approval workflow as agreed in Scope and Design. The client provides project budget templates before budget configuration commences.</t>
  </si>
  <si>
    <t>ERP-PPM-005</t>
  </si>
  <si>
    <t>Oracle Project Billing (where in scope): billing methods supported by Oracle PPM include time-and-material billing, fixed-price milestones, and cost-plus billing. The billing method per project type is confirmed in the Scope and Design phase. The client confirms the billing events, billing cycles, and revenue recognition rules before billing configuration commences.</t>
  </si>
  <si>
    <t>ERP-PPM-006</t>
  </si>
  <si>
    <t>Integration between Oracle PPM and Oracle Financials (GL and AP) is Oracle-native — project cost transactions post automatically to the General Ledger via Oracle's subledger accounting engine. This is not a separately scoped OIC integration. APPSolve configures the subledger accounting (SLA) rules that govern how project costs hit the GL.</t>
  </si>
  <si>
    <t>ERP-PPM-007</t>
  </si>
  <si>
    <t>Project reporting via OTBI: APPSolve configures PPM OTBI reporting security and delivers agreed project performance reports. Advanced project portfolio analytics and dashboard capabilities requiring Oracle Analytics Cloud are separately licensed and excluded from PPM base scope.</t>
  </si>
  <si>
    <t>72. Oracle Fusion Procurement</t>
  </si>
  <si>
    <t>ERP-PRO-001</t>
  </si>
  <si>
    <t>Oracle Procurement modules in scope are confirmed by the BOM. Standard Procurement scope includes Self-Service Procurement (purchase requisitioning), Oracle Purchasing (PO management, approval, receiving), and where licensed, Oracle Sourcing (RFQ, RFP, auction management) and Oracle Procurement Contracts.</t>
  </si>
  <si>
    <t>ERP-PRO-002</t>
  </si>
  <si>
    <t>The requisition-to-PO procurement flow is the core Procurement process. APPSolve configures: purchase requisition entry and approval; automatic PO creation from approved requisitions; PO acknowledgement; goods receipt (Oracle Receiving); and three-way match linkage to Oracle AP. The flow design is agreed in the Scope and Design phase.</t>
  </si>
  <si>
    <t>ERP-PRO-003</t>
  </si>
  <si>
    <t>Procurement approval hierarchy: APPSolve configures one approval hierarchy for purchase requisitions and one for purchase orders, using Oracle Approval Management Engine (AME). The default is position-based approval (routing based on the requester's position in the organisation hierarchy). Employee-supervisor based approval is an alternative. The approval authority matrix (who can approve, up to what amount) is provided by the client before workflow configuration commences.</t>
  </si>
  <si>
    <t>ERP-PRO-004</t>
  </si>
  <si>
    <t>Oracle Procurement catalogue management: APPSolve configures hosted item catalogues in Oracle Self-Service Procurement where the client wishes to restrict requisitions to approved items at pre-agreed prices. The client provides item catalogue data (item descriptions, unit prices, supplier links) in the required template. Punchout catalogues (integration to a supplier-hosted catalogue) require a separately scoped OIC integration.</t>
  </si>
  <si>
    <t>ERP-PRO-005</t>
  </si>
  <si>
    <t>Oracle Procurement Contracts (where in scope): APPSolve configures contract templates, standard contract terms, and the contract authoring workflow. The client provides the legal content for contract templates (standard terms and conditions, deviation approval rules). APPSolve configures the Oracle contract framework; the client's legal team is responsible for the contract content.</t>
  </si>
  <si>
    <t>ERP-PRO-006</t>
  </si>
  <si>
    <t>Oracle Receiving (GRN processing) is included in standard Procurement scope for PO-based purchasing. Receiving records the physical delivery of goods against a purchase order and triggers the three-way match process in Oracle AP. The goods receipt workflow (who records receipts, on what device, in what location) is confirmed in the Scope and Design phase.</t>
  </si>
  <si>
    <t>ERP-PRO-007</t>
  </si>
  <si>
    <t>Oracle Spend Analytics and Procurement reporting use Oracle OTBI's Procurement subject areas. APPSolve configures procurement-specific OTBI reporting security and delivers the agreed set of standard procurement reports. Advanced spend analysis requiring Oracle Procurement Analytics Cloud (OAX) is separately licensed and assessed.</t>
  </si>
  <si>
    <t>74. Reporting and Analytics</t>
  </si>
  <si>
    <t>ERP-REP-001</t>
  </si>
  <si>
    <t>Oracle Transaction Business Intelligence (OTBI) is the standard embedded reporting tool for Oracle Fusion ERP. APPSolve configures OTBI reporting security (subject area access, data security filters) and delivers the agreed custom OTBI reports as part of the implementation. The number of custom OTBI reports included in scope is confirmed in the Scope and Design phase.</t>
  </si>
  <si>
    <t>ERP-REP-002</t>
  </si>
  <si>
    <t>Oracle Financial Reporting Studio (FRS) — the tool for designing formatted financial statements — is included in Oracle Fusion ERP. APPSolve configures FRS reports for the agreed standard financial statement pack. The number of FRS reports in scope is confirmed in the Scope and Design phase.</t>
  </si>
  <si>
    <t>ERP-REP-003</t>
  </si>
  <si>
    <t>Oracle Smart View (Excel add-in enabling financial data queries directly from Excel against Oracle ERP) is an Oracle-delivered feature included in the ERP subscription. APPSolve enables Smart View and provides awareness training to finance users. The client's finance team is responsible for building their own Smart View-based Excel models; APPSolve does not build client Excel reporting models.</t>
  </si>
  <si>
    <t>ERP-REP-004</t>
  </si>
  <si>
    <t>Oracle Analytics Cloud (OAX/FAW — Fusion Analytics Warehouse) is a separately licensed Oracle product and is not included in the standard Oracle Fusion ERP subscription. OTBI, FRS, and Smart View are included in the ERP licence. Where the client requires OAX analytics, it is a separately licensed and separately scoped item.</t>
  </si>
  <si>
    <t>ERP-REP-005</t>
  </si>
  <si>
    <t>SARS VAT return reporting: Oracle ERP captures the VAT transaction data required to prepare the VAT201 return. APPSolve configures OTBI VAT reports that the client's tax team uses to extract VAT data. Oracle Fusion ERP does not submit VAT returns to SARS eFiling. The eFiling submission is the client's tax team's responsibility.</t>
  </si>
  <si>
    <t>77. Security Assumptions</t>
  </si>
  <si>
    <t>ERP-SEC-001</t>
  </si>
  <si>
    <t>APPSolve designs and configures the Oracle Fusion ERP security model: job roles, data security policies, duty roles, and abstract roles. The security design is agreed in the Scope and Design phase. APPSolve uses Oracle-delivered roles as the starting point and creates custom roles only where Oracle-delivered roles do not meet the client's access requirements.</t>
  </si>
  <si>
    <t>ERP-SEC-002</t>
  </si>
  <si>
    <t>The number of custom job roles is confirmed in the Scope and Design phase. Standard APPSolve ERP security designs use the following Oracle-delivered role archetypes: Financial Analyst, AP Invoice Supervisor, AR Billing Specialist, Cash Manager, Procurement Manager, Procurement Agent, and Project Manager. Custom roles are created for access patterns not covered by Oracle-delivered roles.</t>
  </si>
  <si>
    <t>ERP-SEC-003</t>
  </si>
  <si>
    <t>Data security policies — row-level security restricting users to specific ledgers, business units, legal entities, or cost centres — are designed in the Scope and Design phase. Complex data security requirements (for example, a user who can view GL for one legal entity but AP for a different business unit) increase design and testing effort and are assessed per complexity.</t>
  </si>
  <si>
    <t>ERP-SEC-004</t>
  </si>
  <si>
    <t>Segregation of Duties (SoD) awareness: APPSolve designs Oracle ERP roles following Oracle's recommended SoD guidelines. Formal SoD analysis — using Oracle Access Controls Governor (ACG), Fastpath, or equivalent specialist SoD tool — is excluded from base scope. Where a formal SoD audit is required (for example, by external auditors or internal audit), it is assessed as a separately scoped item using the appropriate tool.</t>
  </si>
  <si>
    <t>ERP-SEC-005</t>
  </si>
  <si>
    <t>User provisioning post-go-live: creating new Oracle ERP users, assigning roles to users, and deactivating users who leave the organisation are the client's IT team's responsibility after go-live. APPSolve configures the user provisioning framework during implementation; ongoing user lifecycle management is operational, not implementation, work.</t>
  </si>
  <si>
    <t>ERP-SEC-006</t>
  </si>
  <si>
    <t>Single Sign-On (SSO) is excluded from base ERP scope unless explicitly scoped and listed in the proposal. Oracle Fusion ERP supports SAML 2.0 SSO as an Oracle platform feature. Where the client uses Microsoft Azure AD / Entra ID and holds Oracle Fusion Cloud licensing that supports SAML 2.0 federation, SSO can be included in the implementation as a separately listed configuration activity — this must be explicitly named in the proposal scope section and priced accordingly. SSO configuration with other identity providers (Okta, Ping Identity, Google Workspace, ADFS) is assessed per client environment. In all cases, the client's IT security team must provide IdP federation metadata and co-ordinate certificate configuration before SSO configuration commences.</t>
  </si>
  <si>
    <t>80. Training Assumptions</t>
  </si>
  <si>
    <t>ERP-TRN-001</t>
  </si>
  <si>
    <t>APPSolve delivers train-the-trainer (TTT) training for Oracle Fusion ERP across the user populations agreed in the training plan. Default TTT populations (subject to BOM): GL and Financial Reporting users, AP Invoice Processors, AR Billing users, Cash Management users, Procurement Requisitioners and Buyers, PPM Project Managers (per modules in scope).</t>
  </si>
  <si>
    <t>ERP-TRN-002</t>
  </si>
  <si>
    <t>End-user training delivery is the client's responsibility. APPSolve provides TTT training and delivers configured-system training guides and quick reference cards; the client's trained trainers deliver end-user training to the broader employee population. APPSolve does not train individual end users.</t>
  </si>
  <si>
    <t>ERP-TRN-003</t>
  </si>
  <si>
    <t>Training materials are based on the client's configured Oracle ERP system. APPSolve does not use generic Oracle product training materials as the primary training deliverable. Training materials reference the client's specific COA, workflows, data, and transaction types.</t>
  </si>
  <si>
    <t>ERP-TRN-004</t>
  </si>
  <si>
    <t>Oracle University formal training (Oracle certification courses, Oracle product training) is the client's commercial arrangement with Oracle. APPSolve's training scope covers the configured system — not Oracle product certification or generic Oracle Fusion overview training.</t>
  </si>
  <si>
    <t>79. Testing Assumptions</t>
  </si>
  <si>
    <t>ERP-TST-001</t>
  </si>
  <si>
    <t>Oracle Fusion ERP testing follows the OUM testing framework and aligns to HCM Base testing assumptions (HCM-TST-001 through HCM-TST-004 where applicable). Three testing cycles: CRP1 — Design Validation; CRP2 — End-to-End Validation; UAT — User Acceptance Testing.</t>
  </si>
  <si>
    <t>ERP-TST-002</t>
  </si>
  <si>
    <t>CRP1 (Design Validation): APPSolve demonstrates the configured system against the agreed Scope and Design document. The client's functional team (finance leads, procurement leads, PPM leads) validates that the configured process matches the design. CRP1 is a structured design review — not a user acceptance test.</t>
  </si>
  <si>
    <t>ERP-TST-003</t>
  </si>
  <si>
    <t>CRP2 (End-to-End Validation): complete end-to-end process testing across all configured ERP modules. For example: purchase requisition → PO approval → goods receipt → AP invoice → payment → GL posting → bank reconciliation. The client's functional team executes end-to-end scenarios with test data. APPSolve resolves configuration defects identified during CRP2.</t>
  </si>
  <si>
    <t>ERP-TST-004</t>
  </si>
  <si>
    <t>UAT (User Acceptance Testing): the client's user community (finance users, procurement users, project managers) validates the system against their business requirements. APPSolve supports UAT but does not execute it. UAT sign-off is the client's responsibility and a mandatory prerequisite for production cutover.</t>
  </si>
  <si>
    <t>ERP-TST-005</t>
  </si>
  <si>
    <t>Test data provision for all testing cycles is the client's responsibility. Test data must reflect realistic transaction values, include both standard and exception scenarios, and cover all modules in scope. APPSolve does not source, create, or transform test data.</t>
  </si>
  <si>
    <t>ERP-TST-006</t>
  </si>
  <si>
    <t>Defect management follows the same classification as OIC testing (build defects resolved by APPSolve; data/process/design defects resolved by client). A formal defect log is maintained throughout all testing phases.</t>
  </si>
  <si>
    <t>78. Workflow and Approval Assumptions</t>
  </si>
  <si>
    <t>ERP-WFL-001</t>
  </si>
  <si>
    <t>All Oracle Fusion ERP approval workflows are configured using the Oracle Approval Management Engine (AME). APPSolve configures AME approval rules per the workflow design agreed in the Scope and Design phase. The client provides the complete authority matrix — defining who can approve what transaction type at what monetary amount — before workflow configuration commences.</t>
  </si>
  <si>
    <t>ERP-WFL-002</t>
  </si>
  <si>
    <t>Standard approval workflows included in base ERP scope (subject to module BOM): (a) Manual journal approval (GL); (b) Non-PO supplier invoice approval (AP); (c) Purchase requisition approval (Procurement); (d) Purchase order approval (Procurement); (e) Capex approval (Fixed Assets — where FA is in scope); (f) Project budget approval (PPM — where PPM is in scope). Each workflow listed constitutes one APPSolve configuration item.</t>
  </si>
  <si>
    <t>ERP-WFL-003</t>
  </si>
  <si>
    <t>One approval hierarchy is configured per workflow type. Multiple parallel approval hierarchies per workflow (for example, a different PO approval chain for each business unit or department) constitute a Change Request and are assessed per the number of additional hierarchies required.</t>
  </si>
  <si>
    <t>ERP-WFL-004</t>
  </si>
  <si>
    <t>Oracle Fusion ERP approval notification emails use Oracle's standard BPM Worklist notification framework. Notifications are delivered via Oracle's workflow notification engine. Custom HTML-branded email templates are excluded from base scope. HCM Base assumption HCM-WFL-004 applies where HCM and ERP are in the same project.</t>
  </si>
  <si>
    <t>ERP-WFL-005</t>
  </si>
  <si>
    <t>Delegation rules — allowing a user to delegate their approval authority to another user during absence — are an Oracle ERP platform feature. APPSolve enables delegation capability as part of the standard workflow configuration. Users manage their own delegation rules post-go-live via the Oracle ERP self-service interface.</t>
  </si>
  <si>
    <t>ERP-WFL-006</t>
  </si>
  <si>
    <t>Approval limits (the monetary amount thresholds that determine which approver handles which transaction value) are configured per the client's authority matrix. The client provides the complete, approved authority matrix before workflow configuration commences. Changes to approval limits after workflow configuration is complete are low-effort configuration changes and do not constitute a Change Request unless they require structural workflow redesign.</t>
  </si>
  <si>
    <t>Oracle OCI</t>
  </si>
  <si>
    <t>111. Backup</t>
  </si>
  <si>
    <t>OCI-BKP-001</t>
  </si>
  <si>
    <t>OCI backup scope covers: Block Volume Backups, Boot Volume Backups, and Oracle DB System Automatic Backups. Application-level backups (EBS database exports, application tier file backups) are in scope per the respective application pack, not this OCI pack.</t>
  </si>
  <si>
    <t>OCI-BKP-002</t>
  </si>
  <si>
    <t>Block Volume and Boot Volume backups are configured using OCI's automatic backup policies. The standard APPSolve backup schedule is: daily incremental (30-day retention), weekly full (60-day retention). Clients may define alternative retention periods in the backup design document.</t>
  </si>
  <si>
    <t>OCI-BKP-003</t>
  </si>
  <si>
    <t>Database backups use Oracle's automated RMAN-based backup to OCI Object Storage. Backup windows are configured during low-activity periods agreed with the client. The backup window is confirmed before configuration and documented in the operations runbook.</t>
  </si>
  <si>
    <t>OCI-BKP-004</t>
  </si>
  <si>
    <t>Backup restore testing is performed once during the engagement (using a pre-production or staging environment) to validate backup integrity. Ongoing periodic restore testing post-handover is the client's operational responsibility. The restore procedure is documented in the operations runbook.</t>
  </si>
  <si>
    <t>OCI-BKP-005</t>
  </si>
  <si>
    <t>Cross-region backup replication is not assumed by default. If the client's DR or data protection policy requires backups to be replicated to a secondary OCI region, this is explicitly included in the DR design and separately scoped (see OCI-DR).</t>
  </si>
  <si>
    <t>OCI-BKP-006</t>
  </si>
  <si>
    <t>Third-party backup tools (Veeam, Commvault, Veritas) on OCI are out of scope. APPSolve delivers OCI-native backup services only. Integration of OCI workloads into a third-party backup environment is a separate specialist scope item.</t>
  </si>
  <si>
    <t>OCI-BKP-007</t>
  </si>
  <si>
    <t>Backup alerting (failed backup notifications, missed backup schedule alerts) is configured as part of the monitoring setup. Alert delivery uses OCI Notifications to client-designated email addresses. PagerDuty or equivalent on-call alerting tool integration is not included unless explicitly specified.</t>
  </si>
  <si>
    <t>OCI-BKP-008</t>
  </si>
  <si>
    <t>Archive-tier backup storage is used for long-term retention where backup data does not require rapid restore capability. Archive retrieval times (typically 1–4 hours for Oracle Archive tier) are documented in the backup runbook. Clients requiring sub-1-hour restore from archive must use Standard or Infrequent Access storage tiers.</t>
  </si>
  <si>
    <t>106. Compute</t>
  </si>
  <si>
    <t>OCI-CMP-001</t>
  </si>
  <si>
    <t>Compute instance sizing (shape, OCPU count, memory) is based on the sizing requirements provided by the application team or derived from the client's existing on-premise workload specifications. APPSolve does not independently validate application performance requirements — sizing is based on client-provided or Oracle-recommended specifications for the specific application.</t>
  </si>
  <si>
    <t>OCI-CMP-002</t>
  </si>
  <si>
    <t>The standard compute shape uses Oracle's Flexible shapes (VM.Standard.E4.Flex or VM.Standard3.Flex) unless a specific shape is required by the application (e.g., bare metal for high-performance databases, GPU shapes for analytics workloads). Shape selection is documented in the design and approved by the client before provisioning.</t>
  </si>
  <si>
    <t>OCI-CMP-003</t>
  </si>
  <si>
    <t>APPSolve provisions compute instances with Oracle Linux as the default operating system unless the application requires a specific certified OS (e.g., RHEL for EBS, Windows Server for Windows-based applications). For EBS on OCI, the OS selection (Oracle Linux or RHEL) is confirmed at design sign-off in consultation with the client; both are valid EBS-certified platforms and the choice affects ongoing OS support costs and patching tooling. OS licensing for non-Oracle operating systems is the client's responsibility to procure.</t>
  </si>
  <si>
    <t>OCI-CMP-004</t>
  </si>
  <si>
    <t>Operating system hardening is performed to Oracle's baseline OS hardening standards. Additional hardening requirements (CIS Benchmarks, STIG, NIST) are out of scope unless explicitly included. If advanced OS hardening is required, a separate specialist engagement is needed.</t>
  </si>
  <si>
    <t>OCI-CMP-005</t>
  </si>
  <si>
    <t>APPSolve provisions compute instances using Terraform/ORM as the deployment mechanism. Manual console-based provisioning is not used for production environments. All compute configuration is codified in the IaC repository provided at project close.</t>
  </si>
  <si>
    <t>OCI-CMP-006</t>
  </si>
  <si>
    <t>Auto-scaling of compute resources (instance pools, autoscaling configurations) is configured where explicitly required by the application design (e.g., for OIC compute nodes, APEX web tier scaling). Auto-scaling is not assumed by default for all compute workloads.</t>
  </si>
  <si>
    <t>OCI-CMP-007</t>
  </si>
  <si>
    <t>Compute high availability within a single region uses Availability Domain or Fault Domain placement strategies as appropriate for the region and application. Multi-AD HA and Fault Domain placement are designed per application requirements and documented in the architecture design document.</t>
  </si>
  <si>
    <t>OCI-CMP-008</t>
  </si>
  <si>
    <t>Compute instance backup (boot volume backups) is configured as part of the standard deployment for production instances. Backup frequency and retention period are agreed with the client before configuration. Non-production instance backups are optional and not assumed by default.</t>
  </si>
  <si>
    <t>115. Cost Management</t>
  </si>
  <si>
    <t>OCI-CST-001</t>
  </si>
  <si>
    <t>OCI infrastructure costs (compute, storage, database licensing, network egress, managed services) are the client's financial responsibility. APPSolve does not absorb, share, or guarantee OCI infrastructure costs. All OCI costs are billed by Oracle directly to the client's OCI tenancy.</t>
  </si>
  <si>
    <t>OCI-CST-002</t>
  </si>
  <si>
    <t>APPSolve provides indicative OCI infrastructure cost estimates for budgeting purposes only. These estimates are based on Oracle's published price list at the time of proposal preparation and reflect the workload specifications provided. Indicative OCI cost estimates are not contractual commitments. Actual OCI infrastructure costs will vary based on: actual resource consumption, Oracle pricing changes, workload growth, additional environments, and usage outside normal business hours. OCI infrastructure costs are billed by Oracle directly to the client's OCI tenancy. APPSolve's engagement fees cover design, implementation, and professional delivery services only — they do not include OCI subscription or consumption costs.</t>
  </si>
  <si>
    <t>OCI-CST-003</t>
  </si>
  <si>
    <t>OCI cost optimisation recommendations are provided as part of the standard delivery (right-sizing, scheduling non-production environments, Reserved Instance recommendations). Implementation of cost optimisation actions post-delivery is the client's operational responsibility unless covered by a Managed OCI Services AMS SOW.</t>
  </si>
  <si>
    <t>OCI-CST-004</t>
  </si>
  <si>
    <t>Reserved Instances (Universal Credits / Annual Flex) for OCI cost reduction require client commitment for 1-year or 3-year periods. APPSolve may recommend Reserved Instance commitments but does not make these commitments on behalf of the client. Reserved Instance purchasing is the client's commercial decision with Oracle.</t>
  </si>
  <si>
    <t>OCI-CST-005</t>
  </si>
  <si>
    <t>Non-production OCI environments (Development, Test, UAT) can be scheduled to shut down outside business hours to reduce OCI costs. Auto-shutdown scheduling is configured if explicitly requested. The client defines the non-production uptime schedule. Auto-shutdown is not enabled by default.</t>
  </si>
  <si>
    <t>OCI-CST-006</t>
  </si>
  <si>
    <t>OCI network egress costs (data transfer from OCI to internet or on-premise) can be significant for high-volume data integrations. APPSolve highlights egress cost risk in the architecture design review where applicable. Actual egress costs are based on Oracle's pricing and are the client's responsibility.</t>
  </si>
  <si>
    <t>OCI-CST-007</t>
  </si>
  <si>
    <t>FinOps (cloud financial operations) maturity implementation — tagging governance, showback/chargeback models, unit cost economics — is not included in the standard OCI delivery. FinOps advisory is a separate optional engagement and is not assumed by default.</t>
  </si>
  <si>
    <t>OCI-CST-008</t>
  </si>
  <si>
    <t>OCI Cost Analysis and Budgets dashboards are configured as part of the standard Landing Zone. The client's finance team is responsible for OCI budget management and cost anomaly investigation post-handover. Cost anomaly alerts are configured in OCI Budgets to notify the client's designated contacts.</t>
  </si>
  <si>
    <t>108. Database</t>
  </si>
  <si>
    <t>OCI-DB-001</t>
  </si>
  <si>
    <t>Oracle Database on OCI is deployed as a Virtual Machine DB System for standard enterprise workloads unless a specific database service type is required (e.g., Exadata Cloud Service for high-performance EBS, Autonomous Database for analytics/reporting). The database service type is confirmed in the design and approved before provisioning.</t>
  </si>
  <si>
    <t>OCI-DB-002</t>
  </si>
  <si>
    <t>Oracle Database licensing for OCI DB Systems defaults to Bring Your Own License (BYOL). BYOL assumes the client holds current Oracle Database software licences that are eligible for use on OCI under Oracle's cloud licensing policies. The pre-sales discovery process must confirm the client's Oracle Database licence position before finalising OCI DB pricing. Where a client confirms they hold no Oracle Database licences (or licences insufficient for the required edition), License Included pricing is used. Proposing BYOL without confirming the client's licence position is not permitted.</t>
  </si>
  <si>
    <t>OCI-DB-003</t>
  </si>
  <si>
    <t>APPSolve deploys Oracle Database to the version certified for the application being deployed (e.g., EBS-certified DB version, SOA-certified DB version). Database version selection is confirmed before provisioning. Upgrading to a non-certified database version at client request is a risk-accepted variance requiring client sign-off.</t>
  </si>
  <si>
    <t>OCI-DB-004</t>
  </si>
  <si>
    <t>Database High Availability for production Oracle VM DB Systems is implemented using Oracle Data Guard (primary + standby) as the standard default. Data Guard is included in all production VM DB System deployments unless the client provides written risk acceptance for single-instance production. Single-instance production deployments require explicit client sign-off acknowledging the absence of database HA and the implications for RTO/RPO. OCI cost estimates for production VM DB Systems must reflect the dual-node (primary + standby) sizing. Active Data Guard for read-scale-out scenarios is available where licensed and must be explicitly included in scope.</t>
  </si>
  <si>
    <t>OCI-DB-005</t>
  </si>
  <si>
    <t>Database Automatic Backups are enabled for all Oracle DB Systems. Production database backup retention is set to 30 days. Non-production database backup retention is set to 7 days. Clients requiring longer production retention periods (e.g., 60 or 90 days for regulatory compliance) must specify this in the SOW; extended retention increases Object Storage costs. Database backups are stored in OCI Object Storage within the same region as the database.</t>
  </si>
  <si>
    <t>OCI-DB-006</t>
  </si>
  <si>
    <t>Database Automatic Backups do not replace application-level data exports or logical backups. For EBS on OCI, application-level database exports (Data Pump) are configured separately as part of the EBS design and are not assumed as part of the OCI database configuration.</t>
  </si>
  <si>
    <t>OCI-DB-007</t>
  </si>
  <si>
    <t>Oracle Database patching (OS patching, DB software patching) is the client's operational responsibility after handover. APPSolve configures an initial patching schedule and documents the patching runbook as a handover deliverable. Ongoing patch execution is not included in the project scope unless covered by an AMS SOW.</t>
  </si>
  <si>
    <t>OCI-DB-008</t>
  </si>
  <si>
    <t>OCI infrastructure DBA activities — Oracle Database patching, RMAN backup and restore operations, Data Guard administration, storage expansion, and OCI DB System availability management — are within the OCI AMS pack scope. Application DBA activities — AWR analysis, SQL performance tuning, schema design, index optimisation, Data Pump export/import — are within the ERP or HCM AMS pack scope as applicable to the hosted application. Application-level DBA activities are not included in the OCI infrastructure scope regardless of whether the database is hosted on OCI.</t>
  </si>
  <si>
    <t>OCI-DB-009</t>
  </si>
  <si>
    <t>Autonomous Database deployments are included where the solution specifically requires Autonomous Database services (e.g., Oracle Analytics Cloud data warehouse, APEX with ADB). The provisioning, network configuration, and access setup for Autonomous Database are included. ADB application-level schema design and query optimisation are not included.</t>
  </si>
  <si>
    <t>OCI-DB-010</t>
  </si>
  <si>
    <t>Cross-region database replication (for DR purposes) is included only where the DR design explicitly requires it. Cross-region Data Guard configurations are a significant additional effort item and are separately scoped. Single-region database HA does not include cross-region replication.</t>
  </si>
  <si>
    <t>OCI-DB-011</t>
  </si>
  <si>
    <t>Oracle GoldenGate on OCI (for real-time replication or migration) is a separate licensed service. If GoldenGate is required for migration or DR, it is explicitly scoped and licensed. GoldenGate is not assumed as part of the standard OCI database delivery.</t>
  </si>
  <si>
    <t>OCI-DB-012</t>
  </si>
  <si>
    <t>Database performance benchmarking, stress testing, or capacity planning simulations are not included in the OCI scope. Performance testing of database workloads on OCI is a separate optional activity. The database infrastructure is provisioned to the specified sizing; actual performance validation is the client's responsibility or a separately scoped activity.</t>
  </si>
  <si>
    <t>112. Disaster Recovery</t>
  </si>
  <si>
    <t>OCI-DR-001</t>
  </si>
  <si>
    <t>Disaster Recovery (DR) design and implementation is included only where explicitly stated in the SOW. DR is not assumed by default in any OCI engagement. An engagement without an explicit DR SOW item delivers single-region, single-availability-domain infrastructure only.</t>
  </si>
  <si>
    <t>OCI-DR-002</t>
  </si>
  <si>
    <t>APPSolve's standard OCI DR approach is a Pilot Light DR configuration: critical infrastructure is provisioned in the DR region in a shut-down or minimal state and can be activated when disaster is declared. Pilot Light DR is always separately priced and is never assumed or included in the base OCI engagement. When DR is required, Pilot Light DR is presented as a named engagement option in the SOW with explicit pricing. Proposals must not include DR assumptions unless DR is explicitly included in the SOW.</t>
  </si>
  <si>
    <t>OCI-DR-003</t>
  </si>
  <si>
    <t>Full Active-Active DR (warm standby or hot standby across two regions) is a premium DR configuration and is always separately priced. Active-Active DR typically doubles the OCI infrastructure cost and requires application-level HA support. APPSolve provides Active-Active DR design and implementation as a separately scoped engagement.</t>
  </si>
  <si>
    <t>OCI-DR-004</t>
  </si>
  <si>
    <t>Recovery Time Objective (RTO) and Recovery Point Objective (RPO) targets are defined by the client and documented in the DR design before implementation. APPSolve designs the DR architecture to meet the stated RTO/RPO. APPSolve does not independently validate or guarantee RTO/RPO achievement — performance against RTO/RPO is validated in the DR test.</t>
  </si>
  <si>
    <t>OCI-DR-005</t>
  </si>
  <si>
    <t>DR testing (DR failover test, DR failback test) is performed once during the engagement as a planned DR test. The DR test is conducted in a controlled window agreed with the client. Failed DR tests require remediation and re-testing; re-test effort is included for one remediation cycle. Multiple remediation cycles are a Change Request.</t>
  </si>
  <si>
    <t>OCI-DR-006</t>
  </si>
  <si>
    <t>Database DR uses Oracle Data Guard cross-region standby as the standard database DR mechanism. Application tier DR uses OCI Full Stack DR Service or Pilot Light compute re-provisioning. The DR mechanism per tier is defined in the DR design document.</t>
  </si>
  <si>
    <t>OCI-DR-007</t>
  </si>
  <si>
    <t>APPSolve does not deliver or test DR for third-party applications hosted on OCI unless those applications are within the project scope and the DR mechanism is OCI-native. Third-party application DR is out of scope.</t>
  </si>
  <si>
    <t>OCI-DR-008</t>
  </si>
  <si>
    <t>DR runbook development is included as a standard deliverable for all DR-scoped engagements. The runbook covers: disaster declaration criteria, activation steps per tier, estimated recovery time, communication contacts, and failback procedure. Runbook maintenance after handover is the client's responsibility.</t>
  </si>
  <si>
    <t>OCI-DR-009</t>
  </si>
  <si>
    <t>Network DR (routing failover, DNS failover, load balancer DR) is included as part of the DR design for DR-scoped engagements. DNS TTL reduction before planned DR tests is the client's DNS team responsibility. APPSolve documents the DNS changes required in the DR runbook.</t>
  </si>
  <si>
    <t>OCI-DR-010</t>
  </si>
  <si>
    <t>OCI Full Stack DR Service is used where applicable to orchestrate DR failover for supported resource types. Manual DR runbooks are maintained for resource types not supported by Full Stack DR. The combination of automated and manual DR procedures is documented in the DR runbook.</t>
  </si>
  <si>
    <t>119. External and Third-Party Dependencies</t>
  </si>
  <si>
    <t>OCI-EXT-001</t>
  </si>
  <si>
    <t>FastConnect (OCI dedicated circuit) provisioning requires coordination with a FastConnect partner (e.g., BCX, Liquid Telecom, Vox Telecom). APPSolve designs the FastConnect architecture and provides specifications to the FastConnect partner. Procurement, commercial agreements with the FastConnect partner, and physical circuit provisioning are the client's responsibility. FastConnect lead times are typically 6–12 weeks and must be planned accordingly.</t>
  </si>
  <si>
    <t>OCI-EXT-002</t>
  </si>
  <si>
    <t>Third-party SaaS application integration with OCI-hosted Oracle applications is in scope for OCI network connectivity only (e.g., configuring outbound OCI network access to a third-party SaaS endpoint). Application-level integration logic (API calls, data mapping, authentication) is in scope per the Integration pack. APPSolve does not configure or support third-party SaaS applications directly.</t>
  </si>
  <si>
    <t>OCI-EXT-003</t>
  </si>
  <si>
    <t>Oracle Cloud Marketplace ISV solutions (third-party software from the OCI Marketplace) deployed on OCI are provisioned by APPSolve using the Marketplace image. The ISV's support relationship is directly between the client and the ISV. APPSolve does not support, patch, or maintain ISV software post-handover.</t>
  </si>
  <si>
    <t>OCI-EXT-004</t>
  </si>
  <si>
    <t>Content Delivery Network (CDN) integration (OCI's Akamai-powered CDN) for OCI-hosted applications is included where explicitly required by the application design (e.g., for APEX public applications requiring global content distribution). CDN configuration is a separate scope item and is not assumed by default.</t>
  </si>
  <si>
    <t>OCI-EXT-005</t>
  </si>
  <si>
    <t>Oracle Cloud for Government region requirements are out of scope for the standard OCI pack. South African government clients with data sovereignty requirements mandating Government regions require a separate engagement design. OCI Government regions may have limited service availability compared to commercial regions.</t>
  </si>
  <si>
    <t>OCI-EXT-006</t>
  </si>
  <si>
    <t>Third-party product-specific OCI infrastructure assumptions (for example, assumptions specific to BeBanking, Acumatica, or other products hosted on OCI) are not included in the standard OCI Infrastructure Assumption Pack. Product-specific OCI assumptions are maintained within the relevant product assumption packs where required. The OCI Infrastructure Assumption Pack governs the shared OCI infrastructure layer applicable to any supported workload.</t>
  </si>
  <si>
    <t>OCI-EXT-007</t>
  </si>
  <si>
    <t>Export control and cross-border data compliance: OCI data residency is maintained within the contracted OCI region. Cross-border data transfer requirements (e.g., POPIA Section 72, financial sector cross-border restrictions) are the client's legal responsibility to identify. APPSolve configures OCI to maintain data within the specified region but is not the client's legal compliance advisor.</t>
  </si>
  <si>
    <t>OCI-EXT-008</t>
  </si>
  <si>
    <t>Oracle Cloud Customer Connect resources are available to clients with active Oracle support subscriptions. APPSolve may reference Customer Connect knowledge base articles during engagements. Customer Connect does not replace Oracle's paid support for production issues.</t>
  </si>
  <si>
    <t>OCI-EXT-009</t>
  </si>
  <si>
    <t>Independent Software Vendor software licence compliance on OCI is the client's responsibility. APPSolve provisions OCI infrastructure to the specifications required by the ISV's licensing documentation. Over-provisioning or under-provisioning that results in ISV licence non-compliance is not APPSolve's liability.</t>
  </si>
  <si>
    <t>OCI-EXT-010</t>
  </si>
  <si>
    <t>EBS on OCI: Oracle's EBS on OCI program (EBS Cloud Manager, EBS lift-and-shift) requires an active Oracle E-Business Suite software support subscription. APPSolve assumes the client holds current EBS software support with Oracle. The ERP Assumption Pack and OCI Infrastructure Assumption Pack together provide sufficient assumption coverage for EBS on OCI engagements. A separate EBS-OCI Addendum assumption pack is not required at this time; if EBS-specific OCI assumptions beyond the current combined pack coverage are identified in a specific engagement, they will be documented as project-level assumption supplements in that engagement's SOW.</t>
  </si>
  <si>
    <t>101. General Engagement Scope</t>
  </si>
  <si>
    <t>OCI-GEN-001</t>
  </si>
  <si>
    <t>APPSolve's OCI engagement scope is limited to the workloads and environments explicitly named in the Statement of Work. Any workload not named in the SOW is out of scope. If the client identifies additional workloads during delivery that require OCI hosting, these will be treated as a Change Request.</t>
  </si>
  <si>
    <t>OCI-GEN-002</t>
  </si>
  <si>
    <t>APPSolve is engaged to design, configure, and deliver OCI infrastructure. APPSolve is not engaged as the client's ongoing cloud operations team unless an explicit AMS or Managed OCI Services SOW is in place. Operational responsibility for OCI tenancy post-handover transfers to the client or the client's designated cloud operations team.</t>
  </si>
  <si>
    <t>OCI-GEN-003</t>
  </si>
  <si>
    <t>The client holds the Oracle Cloud (OCI) tenancy agreement directly with Oracle. APPSolve does not enter into OCI tenancy agreements on behalf of clients. The client is responsible for all OCI subscription costs, support tiers, and contractual obligations with Oracle. Where a client requires assistance activating and configuring a new OCI tenancy before engagement work begins, this is treated as a billable pre-engagement activity and must be explicitly included in the SOW. OCI tenancy activation assistance is not assumed as a standard included service.</t>
  </si>
  <si>
    <t>OCI-GEN-004</t>
  </si>
  <si>
    <t>OCI region selection is assumed to be Oracle's South Africa (Johannesburg) region as the primary region, unless the client specifies otherwise in writing. Multi-region deployments (e.g., primary South Africa with a secondary DR region) require explicit SOW definition and are not assumed by default.</t>
  </si>
  <si>
    <t>OCI-GEN-005</t>
  </si>
  <si>
    <t>APPSolve assumes a single OCI tenancy for the engagement. If the client requires multiple tenancies (e.g., separate tenancies for subsidiaries, business units, or geographic entities), each additional tenancy is a separate scoped item and may require additional effort.</t>
  </si>
  <si>
    <t>OCI-GEN-006</t>
  </si>
  <si>
    <t>APPSolve assumes the client will provide named technical contacts with authority to approve OCI architecture decisions, network configuration changes, and security policies. Without authorised client technical contacts, APPSolve cannot progress infrastructure delivery. Delayed approval of OCI architecture decisions is treated as a client-side delay per the CR framework.</t>
  </si>
  <si>
    <t>OCI-GEN-007</t>
  </si>
  <si>
    <t>APPSolve delivers OCI engagements using Oracle's documented Well-Architected Framework principles as the baseline. Deviations from Oracle's recommended architecture require client approval and are documented as risk-accepted variances in the project record.</t>
  </si>
  <si>
    <t>OCI-GEN-008</t>
  </si>
  <si>
    <t>Oracle SaaS products (Fusion HCM Cloud, Fusion ERP Cloud, Oracle CX Cloud) are hosted by Oracle on Oracle-managed infrastructure. APPSolve does not configure, access, or manage Oracle SaaS infrastructure. Any OCI work in a SaaS engagement is limited to integration middleware (OIC), custom extensions (APEX), or connected on-premise/hybrid systems.</t>
  </si>
  <si>
    <t>103. Identity and Access Management</t>
  </si>
  <si>
    <t>OCI-IAM-001</t>
  </si>
  <si>
    <t>OCI Identity and Access Management (IAM) is configured using Oracle Identity Domains as the default. Legacy IDCS-based identity configuration is not used for new engagements. If the client has an existing IDCS configuration, migration to Identity Domains is a separate scoped item.</t>
  </si>
  <si>
    <t>OCI-IAM-002</t>
  </si>
  <si>
    <t>APPSolve configures a standard set of IAM groups and policies covering: tenancy administrators, compartment administrators, network administrators, security administrators, database administrators, and read-only auditors. Custom groups beyond this standard set require explicit scoping.</t>
  </si>
  <si>
    <t>OCI-IAM-003</t>
  </si>
  <si>
    <t>Federation with the client's corporate identity provider (e.g., Microsoft Entra ID / Azure AD, Okta, ADFS) is included in scope where explicitly stated in the SOW. Federation configuration requires the client's identity team to provide SAML metadata and federation approval. APPSolve cannot configure federation without client identity team participation.</t>
  </si>
  <si>
    <t>OCI-IAM-004</t>
  </si>
  <si>
    <t>APPSolve assumes a single Identity Domain for the engagement. Multiple Identity Domains (e.g., separate domains for employees vs. contractors, or for separate business units) are out of scope unless explicitly included. Each additional Identity Domain may require separate Oracle licensing.</t>
  </si>
  <si>
    <t>OCI-IAM-005</t>
  </si>
  <si>
    <t>Privileged Access Management (PAM) tooling integration (e.g., CyberArk, BeyondTrust, Delinea) with OCI IAM is not included in the standard engagement. PAM integration is a specialist security scope item requiring a separate SOW or sub-contract with a security specialist.</t>
  </si>
  <si>
    <t>OCI-IAM-006</t>
  </si>
  <si>
    <t>Service accounts for APPSolve automation (Terraform, ORM, monitoring agents) are created with least-privilege policies. These service accounts are handed over to the client at project close. APPSolve does not retain access to client tenancies after project close unless covered by an AMS SOW.</t>
  </si>
  <si>
    <t>OCI-IAM-007</t>
  </si>
  <si>
    <t>APPSolve assumes the client will designate at least one internal OCI tenancy administrator who holds credentials to the tenancy administrator group. This is a client responsibility. APPSolve will not be the sole administrator of a production tenancy.</t>
  </si>
  <si>
    <t>OCI-IAM-008</t>
  </si>
  <si>
    <t>Multi-Factor Authentication (MFA) policy is enabled by default for all IAM users accessing the OCI Console. APPSolve configures MFA enforcement as a standard security baseline. Disabling MFA requires explicit written client approval and is documented as a risk-accepted variance.</t>
  </si>
  <si>
    <t>OCI-IAM-009</t>
  </si>
  <si>
    <t>OCI IAM policy design uses the principle of least privilege. All policies are reviewed against Oracle's security baseline before handover. APPSolve does not configure open or wildcard policies (e.g., "Allow any-user to manage all-resources in tenancy") in production environments.</t>
  </si>
  <si>
    <t>OCI-IAM-010</t>
  </si>
  <si>
    <t>Emergency Break-Glass access procedures are documented as part of the Landing Zone Runbook. The client's tenancy administrator team is responsible for Break-Glass procedure maintenance after handover. APPSolve does not hold Break-Glass credentials to client tenancies post-project.</t>
  </si>
  <si>
    <t>110. Integration</t>
  </si>
  <si>
    <t>OCI-INT-001</t>
  </si>
  <si>
    <t>OCI integration scope covers network connectivity between OCI-hosted applications and external systems (on-premise, SaaS, partner systems). Application-level integration logic (adapters, mappings, flows) is in scope per the Integration pack (OIC/AMS assumptions), not this OCI pack.</t>
  </si>
  <si>
    <t>OCI-INT-002</t>
  </si>
  <si>
    <t>OCI API Gateway is provisioned where the solution requires managed API exposure (e.g., APEX APIs, custom OCI Function endpoints). API content (routes, policies, authentication schemes) is configured as part of the API Gateway setup. API design and backend integration logic are not in scope for the OCI pack.</t>
  </si>
  <si>
    <t>OCI-INT-003</t>
  </si>
  <si>
    <t>OCI Functions (serverless) is included where the solution design explicitly includes serverless components (e.g., event-driven triggers, lightweight data processing). OCI Function code development is not in scope for the OCI pack — function code is provided by the application team or Integration workstream.</t>
  </si>
  <si>
    <t>OCI-INT-004</t>
  </si>
  <si>
    <t>Oracle Streaming Service (Kafka-compatible) is provisioned where the solution design requires event streaming. Topic configuration, partition sizing, and retention periods are defined in the integration design. Application-level message producers and consumers are not in scope for the OCI pack.</t>
  </si>
  <si>
    <t>OCI-INT-005</t>
  </si>
  <si>
    <t>File-based integration via OCI (SFTP, AS2, EDI) uses OCI's B2B Service within OIC where applicable. Dedicated SFTP server configuration on OCI compute is an alternative for legacy file-based integrations. The approach is defined per integration point in the integration design document.</t>
  </si>
  <si>
    <t>OCI-INT-006</t>
  </si>
  <si>
    <t>OCI Email Delivery service configuration (for application-generated emails from OCI-hosted applications) is included where required. APPSolve configures approved sender domains and suppression lists. The client is responsible for verifying email sender domain ownership via DNS records.</t>
  </si>
  <si>
    <t>OCI-INT-007</t>
  </si>
  <si>
    <t>OCI Notifications and Events service configuration (for operational alerting and event-driven automation) is included as part of the monitoring setup (see OCI-MON). Application-level event subscriptions beyond operational monitoring are a separate scope item.</t>
  </si>
  <si>
    <t>OCI-INT-008</t>
  </si>
  <si>
    <t>Third-party iPaaS tools (Boomi, Informatica, Talend) hosted on OCI compute are not configured as part of the OCI pack. Third-party iPaaS installation and configuration require a separate sub-engagement or sub-contract with the relevant tool specialist.</t>
  </si>
  <si>
    <t>102. Landing Zone</t>
  </si>
  <si>
    <t>OCI-LZ-001</t>
  </si>
  <si>
    <t>APPSolve deploys OCI environments using Oracle's Landing Zone framework as the baseline configuration. The standard Landing Zone includes: compartment structure, identity domains, basic IAM policies, default tagging framework, and budget alerts. Customisation beyond the standard Landing Zone baseline is scoped separately.</t>
  </si>
  <si>
    <t>OCI-LZ-002</t>
  </si>
  <si>
    <t>The standard APPSolve OCI Landing Zone delivers three compartments as a minimum: Production, Non-Production (two environments: Dev/Test combined and UAT separate), and Shared Services. The two non-production environments (Dev/Test combined and UAT separate) are the standard delivery model. Engagements requiring three separate non-production environments (Dev, Test, UAT fully independent) are treated as an expanded scope item. Additional compartments for separate business units, subsidiary entities, or regulatory isolation are out of scope unless explicitly included in the SOW.</t>
  </si>
  <si>
    <t>OCI-LZ-003</t>
  </si>
  <si>
    <t>Landing Zone deployment is assumed to be a greenfield deployment into a new OCI tenancy. If the client has an existing OCI tenancy with existing resources, a tenancy audit is required before Landing Zone deployment. The tenancy audit is a separate billable activity not included in standard Landing Zone effort.</t>
  </si>
  <si>
    <t>OCI-LZ-004</t>
  </si>
  <si>
    <t>APPSolve delivers the Landing Zone configuration as infrastructure-as-code (Terraform via OCI Resource Manager). The client receives the IaC artefacts at project close. Ongoing maintenance of the IaC repository post-handover is the client's responsibility unless covered by an AMS SOW.</t>
  </si>
  <si>
    <t>OCI-LZ-005</t>
  </si>
  <si>
    <t>The standard Landing Zone includes one set of default tagging policies covering: environment (Production/Non-Production), cost centre, project, and owner. Custom tagging taxonomies beyond this set are out of scope unless explicitly included.</t>
  </si>
  <si>
    <t>OCI-LZ-006</t>
  </si>
  <si>
    <t>Budget alerts are configured at tenancy level and compartment level as part of the standard Landing Zone. Alert thresholds are set based on client-provided budget data. APPSolve does not define the client's OCI budget — the client provides the approved budget values before Landing Zone configuration begins.</t>
  </si>
  <si>
    <t>OCI-LZ-007</t>
  </si>
  <si>
    <t>APPSolve's Landing Zone does not include multi-cloud federation (e.g., Azure Arc, AWS Control Tower integration). If the client requires OCI resources to be visible in a multi-cloud management plane, this is a separate scope item.</t>
  </si>
  <si>
    <t>OCI-LZ-008</t>
  </si>
  <si>
    <t>The Landing Zone does not include automatic resource lifecycle management (auto-shutdown of non-production environments, automated right-sizing). These capabilities are available as optional add-on services and are scoped separately if required.</t>
  </si>
  <si>
    <t>OCI-LZ-009</t>
  </si>
  <si>
    <t>APPSolve assumes OCI Resource Manager (ORM) as the Terraform execution environment. If the client requires a self-managed Terraform pipeline (e.g., GitLab CI/CD, GitHub Actions), pipeline integration is a separate scope item.</t>
  </si>
  <si>
    <t>OCI-LZ-010</t>
  </si>
  <si>
    <t>Post-Landing Zone, APPSolve hands over a Landing Zone Runbook documenting compartment structure, IAM policies, tagging taxonomy, and operational procedures. The Runbook is a standard deliverable. Bespoke operational procedure manuals beyond the standard Runbook are out of scope.</t>
  </si>
  <si>
    <t>116. Migration</t>
  </si>
  <si>
    <t>OCI-MIG-001</t>
  </si>
  <si>
    <t>OCI migration scope is explicitly defined in the Migration Plan document, which is a mandatory deliverable for any OCI migration engagement. The Migration Plan defines: migration approach (lift-and-shift, re-platform, re-architecture), migration sequence, rollback criteria, and acceptance criteria for each migrated workload.</t>
  </si>
  <si>
    <t>OCI-MIG-002</t>
  </si>
  <si>
    <t>APPSolve supports the following OCI migration approaches: (a) Lift-and-Shift using OCI VM migration tools or manual replication; (b) Database migration using Oracle Zero Downtime Migration (ZDM); (c) Application re-platform using Oracle Marketplace images. Migration approach per workload is confirmed in the Migration Plan.</t>
  </si>
  <si>
    <t>OCI-MIG-003</t>
  </si>
  <si>
    <t>Zero Downtime Migration (ZDM) is the preferred database migration tool for Oracle Database migrations to OCI. ZDM minimises downtime using online data transfer and redo log shipping. ZDM requires access to both source and target database environments. If ZDM is not viable (source DB version incompatibility, network restrictions), an alternative migration approach is documented and approved.</t>
  </si>
  <si>
    <t>OCI-MIG-004</t>
  </si>
  <si>
    <t>Pre-migration workload assessment is a prerequisite for all OCI migrations. APPSolve performs a pre-migration assessment covering: source environment inventory, dependency mapping, network connectivity requirements, and cutover risk assessment. Assessment results are documented before migration execution begins.</t>
  </si>
  <si>
    <t>OCI-MIG-005</t>
  </si>
  <si>
    <t>Migration cutover is a planned event with an agreed cutover window (typically a weekend). APPSolve provides APPSolve resources during the cutover window as specified in the project plan. Extended cutover windows (greater than 48 hours) require explicit resourcing agreement and may involve additional cost.</t>
  </si>
  <si>
    <t>OCI-MIG-006</t>
  </si>
  <si>
    <t>Rollback capability is maintained during the migration cutover window. The rollback plan is documented in the Migration Plan. After the client signs the migration acceptance sign-off, rollback is no longer supported. Rollback after acceptance sign-off constitutes a new project activity.</t>
  </si>
  <si>
    <t>OCI-MIG-007</t>
  </si>
  <si>
    <t>Source environment decommissioning is the client's responsibility. APPSolve does not decommission on-premise servers, SAN storage, or data centre infrastructure as part of an OCI migration engagement. APPSolve may provide a decommissioning checklist but does not execute decommissioning actions.</t>
  </si>
  <si>
    <t>OCI-MIG-008</t>
  </si>
  <si>
    <t>Data migration for large volumes (greater than 10 TB) requires a data transfer strategy review. Options include: OCI FastConnect-based bulk transfer, Oracle Data Transfer Appliance (physical media), or direct internet transfer with compression. The data transfer strategy is confirmed in the Migration Plan based on available bandwidth and timeline.</t>
  </si>
  <si>
    <t>OCI-MIG-009</t>
  </si>
  <si>
    <t>Parallel running of source and OCI target environments during migration testing is the recommended approach. Parallel run costs (double infrastructure, network, licensing) are the client's responsibility. The parallel run period is defined in the Migration Plan and ends at acceptance sign-off.</t>
  </si>
  <si>
    <t>OCI-MIG-010</t>
  </si>
  <si>
    <t>Application compatibility validation (confirming the migrated application behaves identically on OCI as on-premise) is the client's and application vendor's responsibility. APPSolve ensures the OCI infrastructure meets the application's documented system requirements. Application-level functional testing is in scope per the application pack, not the OCI pack.</t>
  </si>
  <si>
    <t>OCI-MIG-011</t>
  </si>
  <si>
    <t>Third-party application migration (non-Oracle applications co-resident with Oracle on on-premise infrastructure) is out of scope for the OCI pack. APPSolve migrates Oracle workloads defined in the SOW. Third-party applications sharing the same physical infrastructure require separate migration planning.</t>
  </si>
  <si>
    <t>OCI-MIG-012</t>
  </si>
  <si>
    <t>Post-migration performance validation is included as a standard migration deliverable. APPSolve validates that the migrated workload on OCI meets the documented performance baseline established from the pre-migration assessment. A pre-migration performance baseline must be established and agreed before migration execution begins; without a baseline, post-migration performance validation cannot be performed. OCI infrastructure performance issues identified within 30 calendar days of client acceptance sign-off are treated as migration defects and remediated within the project scope. Performance issues identified after 30 days are treated as operational matters and handled under AMS or a new engagement. Application-level performance issues (slow queries, application code inefficiencies, integration bottlenecks) are excluded from the 30-day infrastructure performance warranty.</t>
  </si>
  <si>
    <t>113. Monitoring</t>
  </si>
  <si>
    <t>OCI-MON-001</t>
  </si>
  <si>
    <t>OCI Monitoring (Metrics) is enabled for all provisioned OCI resources. Standard metrics dashboards are configured for: compute CPU/memory/disk utilisation, database performance metrics, network throughput, and Object Storage usage. Custom metrics dashboards beyond the standard set are out of scope.</t>
  </si>
  <si>
    <t>OCI-MON-002</t>
  </si>
  <si>
    <t>OCI Logging (service logs, audit logs, custom application logs) is configured for all provisioned OCI services. Log ingestion into OCI Logging Analytics is included where the client has a Logging Analytics subscription. Without a Logging Analytics subscription, raw logs are available in OCI Logging only (90-day retention).</t>
  </si>
  <si>
    <t>OCI-MON-003</t>
  </si>
  <si>
    <t>Alerting is configured for the following standard conditions: CPU sustained above 90% for 15 minutes, Memory sustained above 85% for 15 minutes, Disk above 80% used, Database availability below 100%, Backup job failure, and network anomaly. Alert thresholds are adjusted based on client-provided operational baselines. Notifications are delivered to client-designated email addresses.</t>
  </si>
  <si>
    <t>OCI-MON-004</t>
  </si>
  <si>
    <t>Third-party monitoring tool integration (Splunk, Dynatrace, Datadog, New Relic) is not included in the standard OCI monitoring configuration. If the client requires OCI metrics and logs to flow to a third-party monitoring platform, this is an optional integration item that must be explicitly included in the SOW.</t>
  </si>
  <si>
    <t>OCI-MON-005</t>
  </si>
  <si>
    <t>Application Performance Monitoring (APM) using OCI APM or third-party tools is not included in the standard OCI monitoring scope. APM requires agent installation on application servers and application-level instrumentation. If APM is required, it is a separate scope item.</t>
  </si>
  <si>
    <t>OCI-MON-006</t>
  </si>
  <si>
    <t>OCI Operations Insights for database performance analysis is an optional monitoring enhancement. If included, it provides AWR data analysis, capacity planning, and SQL performance insights. Operations Insights is not assumed by default; it must be explicitly included.</t>
  </si>
  <si>
    <t>OCI-MON-007</t>
  </si>
  <si>
    <t>A Monitoring Runbook is delivered at project close documenting: dashboard locations, alert configurations, alert response procedures, and escalation contacts. Runbook maintenance after handover is the client's responsibility.</t>
  </si>
  <si>
    <t>OCI-MON-008</t>
  </si>
  <si>
    <t>Uptime monitoring and SLA reporting are not included in the standard OCI monitoring scope. If the client requires uptime SLA reports (e.g., 99.9% availability reporting), this is configured as part of an AMS Managed OCI Services SOW, not a project delivery engagement.</t>
  </si>
  <si>
    <t>109. Middleware</t>
  </si>
  <si>
    <t>OCI-MW-001</t>
  </si>
  <si>
    <t>Oracle Integration Cloud (OIC) on OCI is provisioned as a managed Oracle PaaS instance. APPSolve provisions and configures the OIC instance; integration flows and adapters are in scope per the Integration pack assumptions, not this OCI pack. OCI network access to OIC (private endpoints, VCN peering) is within this pack's scope.</t>
  </si>
  <si>
    <t>OCI-MW-002</t>
  </si>
  <si>
    <t>Oracle Application Express (APEX) on OCI is deployed using Oracle's managed APEX Application Development service unless the application design requires a self-managed APEX installation on a compute instance. The APEX service type (managed vs. self-managed) is confirmed in the design and approved before provisioning.</t>
  </si>
  <si>
    <t>OCI-MW-003</t>
  </si>
  <si>
    <t>Oracle WebLogic Server on OCI (for EBS web/DMZ tier or custom JEE applications) is provisioned using the Oracle WebLogic for OCI Marketplace image as the baseline. WebLogic patching post-handover is the client's operational responsibility.</t>
  </si>
  <si>
    <t>OCI-MW-004</t>
  </si>
  <si>
    <t>Oracle SOA Suite on OCI (where required for on-premise SOA lift-and-shift) is provisioned using the Oracle SOA for OCI Marketplace image. APPSolve does not re-architect SOA composites during an OCI lift-and-shift engagement. Application-level SOA changes are a separate scope item.</t>
  </si>
  <si>
    <t>OCI-MW-005</t>
  </si>
  <si>
    <t>Oracle Analytics Cloud (OAC) on OCI is a managed Oracle PaaS service. OAC provisioning, VCN private access configuration, and initial setup are within scope where explicitly included. OAC content development (dashboards, datasets, analytics flows) is in scope per a separate Analytics or BI engagement, not this OCI pack.</t>
  </si>
  <si>
    <t>OCI-MW-006</t>
  </si>
  <si>
    <t>APPSolve assumes Oracle Marketplace images as the deployment baseline for Oracle-branded middleware (WebLogic, SOA, self-managed APEX). Custom OS configuration or software installation outside Oracle Marketplace images requires additional effort and is separately scoped.</t>
  </si>
  <si>
    <t>OCI-MW-007</t>
  </si>
  <si>
    <t>Middleware HA configuration (WebLogic cluster, SOA cluster) is included where required by the application design. The HA design is documented and approved before provisioning. Single-node non-HA middleware deployment is the default for non-production environments.</t>
  </si>
  <si>
    <t>OCI-MW-008</t>
  </si>
  <si>
    <t>Third-party middleware (IBM MQ, Apache Kafka, MuleSoft, Tibco) on OCI compute is out of scope for the OCI pack. Third-party middleware installation and configuration on OCI requires a separate sub-engagement or sub-contract with the relevant technology specialist.</t>
  </si>
  <si>
    <t>104. Networking</t>
  </si>
  <si>
    <t>OCI-NET-001</t>
  </si>
  <si>
    <t>APPSolve designs and deploys Virtual Cloud Networks (VCNs) according to Oracle's networking best practices. The standard deployment includes one VCN per major environment (Production, Non-Production). Additional VCNs for specific workload isolation (e.g., DMZ, partner networks) are out of scope unless explicitly included.</t>
  </si>
  <si>
    <t>OCI-NET-002</t>
  </si>
  <si>
    <t>VCN address space (CIDR) is assigned by the client's network team before OCI networking configuration begins. APPSolve does not allocate IP address ranges without client network team confirmation. CIDR conflicts with existing on-premise or cloud networks are a client responsibility to identify before design sign-off.</t>
  </si>
  <si>
    <t>OCI-NET-003</t>
  </si>
  <si>
    <t>On-premise to OCI connectivity is implemented via IPSec VPN as the default for most client profiles. APPSolve recommends upgrading to FastConnect (dedicated circuit) when any of the following conditions apply: sustained bandwidth requirement exceeds 100 Mbps, the engagement has more than 100 concurrent users accessing OCI-hosted applications, the OIC or integration layer requires sub-second OCI-to-on-premise latency, or the DR design specifies an RTO of less than 2 hours. FastConnect requires a separate commercial engagement with a FastConnect partner and is separately priced in all cases.</t>
  </si>
  <si>
    <t>OCI-NET-004</t>
  </si>
  <si>
    <t>IPSec VPN configuration requires the client's network team to provide VPN gateway IP addresses, pre-shared keys, and routing information. APPSolve cannot configure the OCI VPN without the corresponding on-premise VPN configuration being provided. VPN commissioning requires coordination windows that must be agreed in the project schedule.</t>
  </si>
  <si>
    <t>OCI-NET-005</t>
  </si>
  <si>
    <t>The standard network design uses a Hub-and-Spoke topology with a dedicated network VCN (hub) connected to spoke VCNs via Local Peering Gateways or OCI Network Firewall. Flat single-VCN designs are available for simple or single-workload engagements at client request.</t>
  </si>
  <si>
    <t>OCI-NET-006</t>
  </si>
  <si>
    <t>OCI Service Gateway is enabled by default to allow OCI resources to access Oracle Services (Object Storage, Autonomous Database) without traversing the public internet. Internet Gateway is enabled only where explicitly required (e.g., for public-facing application tiers). Private OCI deployments without public internet access are the default security posture.</t>
  </si>
  <si>
    <t>OCI-NET-007</t>
  </si>
  <si>
    <t>DNS resolution for OCI resources uses OCI Private DNS zones for internal resolution. External DNS (public-facing) is managed by the client's DNS provider. APPSolve configures OCI Private DNS records as part of the engagement. External DNS record management is the client's responsibility.</t>
  </si>
  <si>
    <t>OCI-NET-008</t>
  </si>
  <si>
    <t>Network Security Groups and Security Lists are configured at minimum to restrict traffic between tiers (web, application, database). Port-level firewall rules are defined in the network design document, which requires client approval before deployment. APPSolve does not open unrestricted ports in production environments.</t>
  </si>
  <si>
    <t>OCI-NET-009</t>
  </si>
  <si>
    <t>OCI Network Firewall (where required) is an additional licensed OCI service. If the client requires deep packet inspection, IDS/IPS, or URL filtering beyond NSG/Security List capabilities, OCI Network Firewall must be included in the OCI subscription and is separately scoped.</t>
  </si>
  <si>
    <t>OCI-NET-010</t>
  </si>
  <si>
    <t>Load Balancing is included where specified in the SOW (e.g., for EBS web tier HA, APEX public access). The standard configuration uses OCI's flexible load balancer. Application-specific load balancer tuning (session persistence, health check configurations) is included for the named application. Generic infrastructure load balancers not tied to a specific application are out of scope.</t>
  </si>
  <si>
    <t>OCI-NET-011</t>
  </si>
  <si>
    <t>OCI Bastion Service is configured as the standard secure access mechanism for administrative access to OCI resources. Direct public IP access to compute instances is not provisioned in production environments. Access to production compute requires Bastion Session initiation.</t>
  </si>
  <si>
    <t>OCI-NET-012</t>
  </si>
  <si>
    <t>Third-party network appliances (e.g., Palo Alto, Fortinet, Cisco ASA on OCI) are out of scope. APPSolve delivers OCI-native networking components only. If the client requires third-party network appliances on OCI, this is a specialist network scope item requiring a separate SOW.</t>
  </si>
  <si>
    <t>114. Operations</t>
  </si>
  <si>
    <t>OCI-OPS-001</t>
  </si>
  <si>
    <t>APPSolve delivers OCI infrastructure in a project mode. Operations begin at project close when the client's operational team takes responsibility. Operational readiness (team training, runbook review, first-month hypercare) is a standard project close activity. Post-hypercare ongoing operations are covered by an AMS SOW if required.</t>
  </si>
  <si>
    <t>OCI-OPS-002</t>
  </si>
  <si>
    <t>OS Management Hub is enabled on Oracle Linux instances for centrally managed OS patching. APPSolve configures the initial patching groups and schedule. Patch approval and execution after project close is the client's operational responsibility unless covered by an AMS SOW. Under a Managed OCI Services AMS SOW, the standard APPSolve patching cadence is quarterly (OS patches and DB patch bundles applied in a quarterly maintenance window). Monthly patching cadence is available as a premium tier where the client's risk profile or regulatory obligations require more frequent patching cycles. Critical Security Patch Updates (CPU) issued by Oracle are applied within 30 days of Oracle release under all AMS tiers regardless of the standard cadence.</t>
  </si>
  <si>
    <t>OCI-OPS-003</t>
  </si>
  <si>
    <t>Oracle Cloud Lift (OCI's free implementation assistance program) resources are not assumed to be available for any client engagement. APPSolve scopes and prices its OCI work independently of Oracle Cloud Lift availability.</t>
  </si>
  <si>
    <t>OCI-OPS-004</t>
  </si>
  <si>
    <t>OCI Governance rules (Quotas, Budget Alerts, Compartment-level policies) are configured during delivery to prevent resource sprawl. Post-handover, quota management is the client's tenancy administrator responsibility. APPSolve documents the quota configuration in the operations runbook.</t>
  </si>
  <si>
    <t>OCI-OPS-005</t>
  </si>
  <si>
    <t>Change management for OCI infrastructure post-handover follows the client's internal IT change management process. APPSolve does not manage the client's change advisory board process. Changes to OCI infrastructure during the project delivery phase follow APPSolve's project-mode change process per COMMERCIAL_GOVERNANCE.md.</t>
  </si>
  <si>
    <t>OCI-OPS-006</t>
  </si>
  <si>
    <t>Scheduled maintenance windows for OCI patching, database patching, and planned changes are agreed with the client before the operational handover. Maintenance windows outside South Africa business hours may apply for production changes. Coordination with the client's IT operations team is required for all production maintenance activities.</t>
  </si>
  <si>
    <t>OCI-OPS-007</t>
  </si>
  <si>
    <t>APPSolve provides operational handover training to the client's designated OCI administrator team. The standard training package covers: OCI Console navigation, key monitoring dashboards, backup verification, alert acknowledgement, and escalation procedures. Advanced OCI administrator training is a separate scope item.</t>
  </si>
  <si>
    <t>OCI-OPS-008</t>
  </si>
  <si>
    <t>Incident management post-handover uses the client's incident management tooling (ServiceNow, Jira Service Desk, etc.). APPSolve does not provide an incident management platform. Under an AMS SOW, APPSolve integrates with the client's ITSM tool for AMS-managed incidents.</t>
  </si>
  <si>
    <t>117. Performance</t>
  </si>
  <si>
    <t>OCI-PER-001</t>
  </si>
  <si>
    <t>APPSolve designs OCI infrastructure to Oracle's documented sizing guidelines for the applicable application (EBS on OCI Sizing Guide, OIC performance guidelines, etc.). APPSolve does not independently develop performance models for applications not covered by Oracle's documented sizing guidelines.</t>
  </si>
  <si>
    <t>OCI-PER-002</t>
  </si>
  <si>
    <t>Performance testing (load testing, stress testing, soak testing) of OCI-hosted applications is not included in the standard OCI delivery. If performance testing is required, it is a separate scope item. Performance testing against production OCI environments requires advance coordination and a maintenance window.</t>
  </si>
  <si>
    <t>OCI-PER-003</t>
  </si>
  <si>
    <t>OCI Compute auto-scaling (instance pools) is configured where the application design requires dynamic scaling. Auto-scaling triggers are defined based on CPU/memory metrics. Application-level validation that the application handles OCI auto-scaling correctly is the application team's responsibility.</t>
  </si>
  <si>
    <t>OCI-PER-004</t>
  </si>
  <si>
    <t>Network bandwidth between OCI and on-premise environments is a significant performance variable. IPSec VPN bandwidth limitations may impact performance for high-volume OCI integrations. APPSolve documents network bandwidth requirements in the architecture design; if bandwidth is insufficient, FastConnect upgrade is recommended as a separate commercial item.</t>
  </si>
  <si>
    <t>OCI-PER-005</t>
  </si>
  <si>
    <t>OCI Storage I/O performance (Block Volume IOPS) is provisioned based on application requirements specified before implementation. APPSolve does not conduct production I/O profiling of existing on-premise workloads unless a pre-migration assessment is explicitly included in the SOW.</t>
  </si>
  <si>
    <t>OCI-PER-006</t>
  </si>
  <si>
    <t>Database performance on OCI VM DB Systems is subject to the compute shape selected and Block Volume I/O performance tier. APPSolve recommends the appropriate shape and I/O tier based on the sizing assessment. Sub-optimal performance caused by incorrect sizing information provided by the client is not a delivery defect.</t>
  </si>
  <si>
    <t>OCI-PER-007</t>
  </si>
  <si>
    <t>APPSolve does not provide performance guarantees (SLA-backed response times, guaranteed throughput) for OCI infrastructure as part of a project delivery. Performance SLAs are a feature of AMS Managed OCI Services SOWs only.</t>
  </si>
  <si>
    <t>OCI-PER-008</t>
  </si>
  <si>
    <t>Compute right-sizing recommendations are provided as part of the standard delivery and updated at the 30-day post-go-live review. Right-sizing actions post-review are the client's operational responsibility unless covered by an AMS SOW.</t>
  </si>
  <si>
    <t>105. Security</t>
  </si>
  <si>
    <t>OCI-SEC-001</t>
  </si>
  <si>
    <t>OCI security configuration is delivered against Oracle's CIS OCI Foundations Benchmark (Level 1) as APPSolve's standard OCI security delivery baseline. Compliance with higher security standards (CIS Level 2, ISO 27001, PCI-DSS, SOC 2) requires explicit scoping and may require specialist security advisory services. Where a client operates in a regulated industry (South African financial services, government, healthcare), APPSolve will flag this at pre-sales and recommend an OCI Security Addendum discussion before proposal finalisation. Regulated-industry security requirements that exceed the CIS Level 1 baseline are out of scope for the standard OCI pack and must be separately scoped.</t>
  </si>
  <si>
    <t>OCI-SEC-002</t>
  </si>
  <si>
    <t>OCI Cloud Guard is enabled and configured in the tenancy as part of the standard security baseline. Cloud Guard detects misconfigurations and threat indicators. Remediation of Cloud Guard findings post-handover is the client's operational responsibility. APPSolve configures Cloud Guard detector rules during the engagement and provides a Cloud Guard baseline report at project close.</t>
  </si>
  <si>
    <t>OCI-SEC-003</t>
  </si>
  <si>
    <t>OCI Security Zones are applied to the Production compartment as a standard control. Security Zone policies enforce mandatory encryption, prevent public access to storage objects, and enforce other baseline controls. Any client request to disable Security Zone policies in production must be approved in writing by the client's CISO or equivalent and documented as a risk-accepted variance.</t>
  </si>
  <si>
    <t>OCI-SEC-004</t>
  </si>
  <si>
    <t>Encryption at rest is enabled for all OCI resources using Oracle-managed encryption keys as the default. Customer-managed encryption keys (CMEK) via OCI Vault are available but require additional configuration and key management operational procedures. CMEK is not assumed by default — it must be explicitly included in the SOW if required by the client's security policy.</t>
  </si>
  <si>
    <t>OCI-SEC-005</t>
  </si>
  <si>
    <t>Encryption in transit is enforced for all data moving between OCI services, between OCI and on-premise networks, and between OCI public internet endpoints and users. APPSolve configures TLS termination at load balancers and ensures all OCI service endpoints use HTTPS/TLS. Plaintext communication channels in production environments are not configured.</t>
  </si>
  <si>
    <t>OCI-SEC-006</t>
  </si>
  <si>
    <t>OCI Audit logging is enabled for all tenancy-level and compartment-level events. Audit logs are retained per Oracle's default 90-day retention window. If the client requires longer audit log retention (e.g., 1 year for regulatory compliance), logs must be exported to OCI Object Storage and the client provides the retention policy. Extended retention is not assumed by default.</t>
  </si>
  <si>
    <t>OCI-SEC-007</t>
  </si>
  <si>
    <t>Penetration testing of OCI infrastructure is not included in APPSolve's scope. If the client requires penetration testing, this is procured from a specialist security vendor and coordinated through Oracle's penetration testing notification process. APPSolve will provide architecture documentation to the pen test vendor on request.</t>
  </si>
  <si>
    <t>OCI-SEC-008</t>
  </si>
  <si>
    <t>Vulnerability scanning of OCI compute instances is the client's operational responsibility after handover. APPSolve may recommend OCI's native vulnerability scanning service (OS Management Hub) and configure it if explicitly included in the SOW. Ongoing scan management and remediation are not included in the standard engagement.</t>
  </si>
  <si>
    <t>OCI-SEC-009</t>
  </si>
  <si>
    <t>Data residency: APPSolve configures OCI workloads to reside exclusively within the contracted OCI region(s). Cross-region data replication for DR purposes (where included in scope) is explicitly defined in the DR design document. APPSolve does not configure cross-border data replication without explicit client approval.</t>
  </si>
  <si>
    <t>OCI-SEC-010</t>
  </si>
  <si>
    <t>OCI Security Advisor is run during the engagement to validate the architecture against Oracle's security recommendations. The Security Advisor report is provided to the client as a handover deliverable. Any accepted findings not fully remediated are documented with the client's written acknowledgement.</t>
  </si>
  <si>
    <t>107. Storage</t>
  </si>
  <si>
    <t>OCI-STO-001</t>
  </si>
  <si>
    <t>OCI Object Storage is used for: database backups, application file exports, OCI audit log archiving, and static content hosting where applicable. Object Storage bucket structure, lifecycle policies, and access controls are defined in the storage design document and approved before provisioning.</t>
  </si>
  <si>
    <t>OCI-STO-002</t>
  </si>
  <si>
    <t>Object Storage bucket access is private by default. Public buckets are not configured without explicit client approval. Pre-Authenticated Requests are used for controlled temporary external access. APPSolve does not configure permanent public read access to Object Storage buckets in production environments.</t>
  </si>
  <si>
    <t>OCI-STO-003</t>
  </si>
  <si>
    <t>Block Volume storage sizing for compute instances is based on client-provided storage requirements. APPSolve does not independently validate application storage growth projections. Storage capacity planning is the client's responsibility; APPSolve provisions what is specified. Block Volume expansion is a straightforward operational action and does not require a Change Request.</t>
  </si>
  <si>
    <t>OCI-STO-004</t>
  </si>
  <si>
    <t>Block Volume performance tier (Balanced, Higher Performance, Ultra High Performance) is selected based on application I/O requirements. For database workloads, Higher Performance or Ultra High Performance tiers may be required. Performance tier selection is documented and approved before provisioning.</t>
  </si>
  <si>
    <t>OCI-STO-005</t>
  </si>
  <si>
    <t>File Storage Service (NFS) is included where the application requires shared file system access across multiple compute instances (e.g., EBS shared application tier, multi-node middleware). File Storage Service is not assumed by default — it is only provisioned where explicitly required by the application design.</t>
  </si>
  <si>
    <t>OCI-STO-006</t>
  </si>
  <si>
    <t>Object Storage lifecycle policies are configured to transition objects from Standard to Infrequent Access or Archive tiers based on client-defined age thresholds. Default lifecycle policy: Standard for 30 days, Infrequent Access for 60 days, then Archive. Clients may override these thresholds in the storage design document.</t>
  </si>
  <si>
    <t>OCI-STO-007</t>
  </si>
  <si>
    <t>APPSolve does not configure cross-region Object Storage replication as part of the standard engagement. Cross-region replication for DR Object Storage is included only where the DR design explicitly requires it and is separately scoped.</t>
  </si>
  <si>
    <t>OCI-STO-008</t>
  </si>
  <si>
    <t>Storage encryption uses Oracle-managed keys by default. Customer-managed key integration with OCI Vault for Block Volumes and Object Storage is available as an optional capability and must be explicitly included in the SOW if required by the client's security policy.</t>
  </si>
  <si>
    <t>118. Support</t>
  </si>
  <si>
    <t>OCI-SUP-001</t>
  </si>
  <si>
    <t>Oracle Cloud support for OCI is the client's direct relationship with Oracle. The client must hold an appropriate Oracle support subscription (Premier Support recommended for production workloads). APPSolve assists the client in raising Oracle support requests where required but is not a proxy for Oracle support.</t>
  </si>
  <si>
    <t>OCI-SUP-002</t>
  </si>
  <si>
    <t>APPSolve's OCI project delivery support covers: configuration defects, deployment issues, and infrastructure design queries during the project delivery period. The project delivery support period ends at acceptance sign-off. Post-acceptance support is provided under a separate AMS or Managed OCI Services SOW.</t>
  </si>
  <si>
    <t>OCI-SUP-003</t>
  </si>
  <si>
    <t>APPSolve's AMS OCI support scope covers the OCI infrastructure services explicitly named in the AMS SOW. OCI services not named in the AMS SOW are not covered by the AMS support agreement. Expansion of AMS OCI scope requires a SOW amendment.</t>
  </si>
  <si>
    <t>OCI-SUP-004</t>
  </si>
  <si>
    <t>Critical OCI infrastructure incidents under an AMS SOW are escalated to Oracle support by APPSolve on the client's behalf where the root cause is an OCI platform issue. APPSolve cannot resolve Oracle platform outages — Oracle's support SLA governs resolution. APPSolve communicates Oracle's support status to the client.</t>
  </si>
  <si>
    <t>OCI-SUP-005</t>
  </si>
  <si>
    <t>OCI tenancy administration support (user management, compartment changes, policy amendments) is included under an AMS SOW as a standard service request type. The volume of service requests covered per period is defined in the AMS SOW.</t>
  </si>
  <si>
    <t>OCI-SUP-006</t>
  </si>
  <si>
    <t>Security incident response for OCI (Cloud Guard alert response, suspected breach, anomalous activity) under an AMS SOW follows APPSolve's incident response procedures. APPSolve does not provide a dedicated 24x7 SOC for OCI security monitoring. Security incident response outside business hours requires a separately scoped on-call retainer.</t>
  </si>
  <si>
    <t>OCI-SUP-007</t>
  </si>
  <si>
    <t>OCI cost spike investigation (unexpected OCI bill increases) is included as a standard service request under a Managed OCI Services AMS SOW. APPSolve investigates root causes and recommends remediation. APPSolve cannot reverse or credit OCI charges — Oracle billing is the client's direct financial relationship.</t>
  </si>
  <si>
    <t>OCI-SUP-008</t>
  </si>
  <si>
    <t>APPSolve's OCI support team holds current Oracle OCI certifications. The minimum OCI certification requirement for APPSolve OCI support is Oracle Cloud Infrastructure Architect Associate. Senior OCI support engineers hold OCI Architect Professional certification. Certification currency is validated at AMS renewal.</t>
  </si>
  <si>
    <t>Acumatica Base</t>
  </si>
  <si>
    <t>122. Configuration and Customisation</t>
  </si>
  <si>
    <t>ACU-CFG-001</t>
  </si>
  <si>
    <t>APPSolve configures Acumatica using Acumatica's standard Low-Code/No-Code customisation framework (Acumatica Customisation Project, screen customisations, generic inquiries, reports via Report Designer). Direct database modifications, SQL-level changes, and modifications to Acumatica's core application source code are never performed.</t>
  </si>
  <si>
    <t>ACU-CFG-002</t>
  </si>
  <si>
    <t>Custom development beyond the Acumatica Low-Code/No-Code framework (e.g., custom web service integrations, custom API endpoints, custom workflow extensions requiring C# development) is treated as a customisation scope item and priced separately. The volume and complexity of custom development items are confirmed before the SOW is signed.</t>
  </si>
  <si>
    <t>ACU-CFG-003</t>
  </si>
  <si>
    <t>Generic Inquiries (GIs) are used as the standard tool for custom data views, lookup screens, and reporting source queries. APPSolve delivers a set of GIs defined during Scope &amp; Design. GIs outside the agreed set are a Change Request. The client's operational team will maintain GIs post-handover using Acumatica's GI builder.</t>
  </si>
  <si>
    <t>ACU-CFG-004</t>
  </si>
  <si>
    <t>Acumatica Push Notifications and Business Events are configured for defined automated workflow triggers identified during Scope &amp; Design. Automations outside the agreed set are a Change Request. Complex multi-step automation requiring Acumatica Workflow Engine customisation is separately priced.</t>
  </si>
  <si>
    <t>ACU-CFG-005</t>
  </si>
  <si>
    <t>Report Designer is used for all standard Acumatica reports. APPSolve delivers a set of configured reports defined during Scope &amp; Design. Custom reports outside the agreed set are a Change Request. SSRS, Power BI, or external BI tool integration is out of scope for the standard Acumatica implementation and requires a separate analytics engagement.</t>
  </si>
  <si>
    <t>ACU-CFG-006</t>
  </si>
  <si>
    <t>Acumatica screen customisation (adding or modifying fields, relabelling, reordering) is performed only where the business requirement cannot be met by standard configuration. Each screen customisation is individually scoped. The number of screen customisations is agreed and capped in the SOW — additional customisations are Change Requests.</t>
  </si>
  <si>
    <t>ACU-CFG-007</t>
  </si>
  <si>
    <t>Acumatica Dashboards are configured using standard Acumatica dashboard widgets connected to Generic Inquiries. APPSolve delivers a defined set of dashboards per role agreed during Scope &amp; Design. Custom Power BI or third-party analytics dashboards embedded in Acumatica are out of scope for the standard implementation.</t>
  </si>
  <si>
    <t>ACU-CFG-008</t>
  </si>
  <si>
    <t>Configuration documentation (Acumatica Configuration Workbook) is delivered at project close. The Configuration Workbook captures: module activations, numbering sequences, approval workflows, configuration decisions, and custom GIs/reports/dashboards. The Configuration Workbook is a standard deliverable and is the client's operational reference for system maintenance.</t>
  </si>
  <si>
    <t>ACU-CFG-009</t>
  </si>
  <si>
    <t>Single Sign-On (SSO) integration between Acumatica and the client's identity provider (Microsoft Azure AD, Okta, Google Workspace, or similar) is not included in the standard implementation. SSO requires the client's IT administrator to configure the identity provider and exchange SAML metadata with Acumatica. APPSolve assists with Acumatica-side SSO configuration where explicitly included in the SOW and subject to the client's IT team providing the required identity provider configuration.</t>
  </si>
  <si>
    <t>129. CRM and Customer Management</t>
  </si>
  <si>
    <t>ACU-CRM-001</t>
  </si>
  <si>
    <t>Acumatica CRM configuration is included where the CRM module is in scope per the SOW. CRM scope covers: Lead and Opportunity management, Customer/Contact master, Activity tracking, and Case management. Advanced CRM features (marketing campaign management, email marketing, customer portals) are separately scoped.</t>
  </si>
  <si>
    <t>ACU-CRM-002</t>
  </si>
  <si>
    <t>CRM data migration (leads, contacts, opportunities, historical activities) from a legacy CRM (Salesforce, HubSpot, Zoho, Microsoft Dynamics) requires a data extraction from the legacy system. The client extracts CRM data and provides it in the APPSolve-supplied migration template. APPSolve does not directly connect to or extract data from third-party CRM systems.</t>
  </si>
  <si>
    <t>ACU-CRM-003</t>
  </si>
  <si>
    <t>Acumatica CRM integration with Microsoft 365 (Outlook email synchronisation, calendar integration) is included where explicitly stated in the SOW. The client's Microsoft 365 tenant administrator must approve and configure the Microsoft 365 integration permissions. APPSolve cannot configure the Microsoft 365 integration without Microsoft 365 admin access.</t>
  </si>
  <si>
    <t>ACU-CRM-004</t>
  </si>
  <si>
    <t>Acumatica CRM does not include a customer-facing self-service portal as part of the standard implementation. If the client requires a customer portal (for case submission, invoice viewing, order status), this is a separately scoped Acumatica Portal configuration item.</t>
  </si>
  <si>
    <t>139. Security and Access Control</t>
  </si>
  <si>
    <t>ACU-CUS-001</t>
  </si>
  <si>
    <t>The client provides a dedicated Project Sponsor and Project Manager for the duration of the Acumatica implementation. The Project Sponsor attends all key milestone reviews and has authority to make project decisions. Absence of a Project Sponsor or Project Manager from critical milestones delays the project.</t>
  </si>
  <si>
    <t>ACU-CUS-002</t>
  </si>
  <si>
    <t>The client provides named super-users for each module in scope. Super-users participate in design workshops, UAT, training, and knowledge transfer. Super-users must be available for a minimum of 50% of their working time during the implementation. If super-users are not available at the agreed participation level, this is a client-side risk that impacts the project timeline.</t>
  </si>
  <si>
    <t>ACU-CUS-003</t>
  </si>
  <si>
    <t>The client completes all configuration decisions and design workshops within the agreed timeline. Decision delays that block configuration progress are documented as client-side delays. APPSolve adjusts the project schedule to reflect client-side delays, and the client bears the cost of any schedule extension caused by decision delays.</t>
  </si>
  <si>
    <t>ACU-CUS-004</t>
  </si>
  <si>
    <t>The client provides all master data and opening balance data in the APPSolve-supplied templates by the agreed data submission deadline. Late data submission delays data migration and UAT, which delays go-live. Data quality issues in client-provided data are the client's responsibility to resolve.</t>
  </si>
  <si>
    <t>ACU-CUS-005</t>
  </si>
  <si>
    <t>The client executes UAT using the APPSolve-provided test scenarios. The client logs defects in the agreed defect management tool. UAT sign-off is the client's formal acceptance that the system is ready for production. The client understands that UAT sign-off triggers the go-live preparation phase.</t>
  </si>
  <si>
    <t>ACU-CUS-006</t>
  </si>
  <si>
    <t>The client is responsible for training their end users after APPSolve's super-user training is complete. End-user training is a client operational activity. APPSolve provides training materials for this purpose. The go-live date is not delayed because of end-user training completion.</t>
  </si>
  <si>
    <t>ACU-CUS-007</t>
  </si>
  <si>
    <t>The client manages the decommissioning of their legacy system after Acumatica go-live. APPSolve does not decommission, archive, or maintain the client's legacy system. The timing of legacy system decommissioning is the client's decision.</t>
  </si>
  <si>
    <t>ACU-CUS-008</t>
  </si>
  <si>
    <t>The client holds a valid Acumatica licence for the production go-live date. APPSolve does not proceed to production go-live without written confirmation that the client's Acumatica production licence is active.</t>
  </si>
  <si>
    <t>136. Cutover and Go-Live</t>
  </si>
  <si>
    <t>ACU-CUT-001</t>
  </si>
  <si>
    <t>Go-live cutover is a planned event with an agreed cutover window. APPSolve provides an Acumatica Go-Live Runbook covering: cutover sequence, data migration execution, parallel run activities (where applicable), go-live sign-off checklist, and rollback criteria. The runbook is reviewed and approved by the client's project sponsor before the cutover window begins.</t>
  </si>
  <si>
    <t>ACU-CUT-002</t>
  </si>
  <si>
    <t>Parallel run (operating both the legacy system and Acumatica simultaneously for a period after go-live) is not assumed by default for Acumatica implementations. Parallel run is a high-effort activity that requires double data entry and reconciliation. If the client requires a parallel run, this is explicitly included in the SOW with defined duration and scope. APPSolve assists with the first parallel run reconciliation cycle only — subsequent cycles are the client's responsibility.</t>
  </si>
  <si>
    <t>ACU-CUT-003</t>
  </si>
  <si>
    <t>The legacy system is the client's system. APPSolve does not control the legacy system and cannot guarantee that the legacy system will be available for parallel run or data extraction during the cutover window. Delays caused by legacy system unavailability during cutover are client-side delays.</t>
  </si>
  <si>
    <t>ACU-CUT-004</t>
  </si>
  <si>
    <t>Go-live date changes requested by the client after the project schedule is baselined are Change Requests. A client-initiated go-live delay of more than four weeks may require a project scope review and cost impact assessment.</t>
  </si>
  <si>
    <t>ACU-CUT-005</t>
  </si>
  <si>
    <t>APPSolve provides hypercare support for a defined period after go-live (standard: four weeks). Hypercare covers: answering user queries, resolving configuration defects, and providing guidance on Acumatica operations. Hypercare does not cover new configuration, new integrations, or scope changes — these are Change Requests.</t>
  </si>
  <si>
    <t>123. Data Migration</t>
  </si>
  <si>
    <t>ACU-DAT-001</t>
  </si>
  <si>
    <t>Data migration scope is limited to the data entities explicitly named in the Data Migration Plan. The Data Migration Plan is a mandatory deliverable agreed before migration execution begins. Data entities not named in the Data Migration Plan are out of scope. Adding new entities after the Data Migration Plan is signed is a Change Request.</t>
  </si>
  <si>
    <t>ACU-DAT-002</t>
  </si>
  <si>
    <t>APPSolve provides Acumatica Import Scenarios and data migration templates for the agreed data entities. The client is responsible for extracting data from the legacy system, populating the migration templates, and delivering the populated templates to APPSolve by the agreed date. APPSolve does not extract data from the client's legacy system.</t>
  </si>
  <si>
    <t>ACU-DAT-003</t>
  </si>
  <si>
    <t>APPSolve performs data validation on the client-provided data: format validation, referential integrity checks, and business rule validation against Acumatica's data model. APPSolve does not cleanse, de-duplicate, or enrich the client's data. Data quality is the client's responsibility. Data quality issues identified during validation are returned to the client for correction.</t>
  </si>
  <si>
    <t>ACU-DAT-004</t>
  </si>
  <si>
    <t>The standard APPSolve data migration approach includes: one pilot migration (into the non-Production environment), one dress rehearsal migration (simulating the production migration sequence and timing), and one final migration (production go-live). Additional migration cycles are a Change Request.</t>
  </si>
  <si>
    <t>ACU-DAT-005</t>
  </si>
  <si>
    <t>Opening balances for financial data are migrated as a single agreed balance date. APPSolve migrates the agreed opening balance snapshot only. Historical transaction data is not migrated unless explicitly included as a separately scoped item. Historical transaction migration significantly increases the migration effort and must be scoped separately.</t>
  </si>
  <si>
    <t>ACU-DAT-006</t>
  </si>
  <si>
    <t>Active master data is migrated by default. The definition of "active" is confirmed with the client during Scope &amp; Design (e.g., customers active in the last 24 months; inventory items with positive stock on hand). Inactive, archived, or superseded master data is excluded from the migration unless explicitly included.</t>
  </si>
  <si>
    <t>ACU-DAT-007</t>
  </si>
  <si>
    <t>The client provides a formal sign-off on the migrated data in the non-Production environment before the final Production migration is executed. Sign-off confirms: data completeness, opening balance accuracy, and master data integrity. The final Production migration does not proceed without sign-off.</t>
  </si>
  <si>
    <t>ACU-DAT-008</t>
  </si>
  <si>
    <t>APPSolve provides a data migration runbook for the production go-live migration event, including estimated timings, rollback decision criteria, and sign-off checkpoints. The client's project sponsor participates in the go-live migration event and is available throughout the migration window.</t>
  </si>
  <si>
    <t>ACU-DAT-009</t>
  </si>
  <si>
    <t>Post-go-live data corrections (errors in migrated data identified after go-live) are the client's operational responsibility to assess and prioritise. APPSolve supports data correction activities during the post-go-live hypercare period within the agreed hypercare scope. Data corrections requiring a new migration run after go-live are a Change Request.</t>
  </si>
  <si>
    <t>ACU-DAT-010</t>
  </si>
  <si>
    <t>Document attachments from the legacy system (PDF invoices, scanned receipts, signed contracts, delivery notes, correspondence, and image files attached to legacy transactions or master records) are not migrated to Acumatica as part of the standard data migration. Acumatica's native file attachment capability allows new documents to be attached from go-live forward. Migration of legacy document attachments is a separately scoped, high-effort activity and must be explicitly included in the SOW if required.</t>
  </si>
  <si>
    <t>ACU-DAT-011</t>
  </si>
  <si>
    <t>Notes, inline comments, memo fields, and internal descriptions attached to individual transactions in the legacy system are not migrated to Acumatica. Only structured transactional data defined in APPSolve's data migration templates is migrated. Post-go-live, notes can be added to Acumatica records using Acumatica's standard notes and file attachment features.</t>
  </si>
  <si>
    <t>ACU-DAT-012</t>
  </si>
  <si>
    <t>Legacy system audit trail and transaction change history are not migrated to Acumatica. Acumatica maintains its own audit trail from go-live forward. For regulatory or audit continuity purposes, clients must retain access to the legacy system or archive the legacy audit data separately. APPSolve recommends clients confirm their data retention obligations with their auditors before decommissioning the legacy system.</t>
  </si>
  <si>
    <t>121. Environments</t>
  </si>
  <si>
    <t>ACU-ENV-001</t>
  </si>
  <si>
    <t>The standard Acumatica implementation includes two environments: one Production tenant and one non-Production tenant (used for configuration, testing, and training). Separate environments for Development, User Acceptance Testing (UAT), Training, and Performance Testing are not assumed by default and are separately scoped if required.</t>
  </si>
  <si>
    <t>ACU-ENV-002</t>
  </si>
  <si>
    <t>Acumatica's cloud environment provisioning is managed by Acumatica and its hosting partners. APPSolve does not control Acumatica environment provisioning timelines. Delays in environment availability caused by Acumatica or its hosting partners are not APPSolve's responsibility and are documented as third-party delays.</t>
  </si>
  <si>
    <t>ACU-ENV-003</t>
  </si>
  <si>
    <t>Environment configuration activities (module activation, base configuration, user setup) begin once the non-Production environment is available. APPSolve provides a confirmed environment readiness checklist before configuration begins.</t>
  </si>
  <si>
    <t>ACU-ENV-004</t>
  </si>
  <si>
    <t>All configuration work is performed in the non-Production environment first. Configuration is promoted to Production only after: client UAT sign-off, data migration validation, and go-live approval from the client's project sponsor. APPSolve does not configure Production environments directly without non-Production sign-off.</t>
  </si>
  <si>
    <t>ACU-ENV-005</t>
  </si>
  <si>
    <t>APPSolve assumes Acumatica will be accessed by client users through a standard web browser (Chrome or Edge recommended). Mobile app access for Acumatica is available through the Acumatica mobile app. APPSolve does not configure or support custom mobile applications built on top of Acumatica.</t>
  </si>
  <si>
    <t>ACU-ENV-006</t>
  </si>
  <si>
    <t>Performance testing of the Acumatica environment (load testing, stress testing) is not included in the standard implementation. If the client requires performance testing, it is a separately scoped activity. Acumatica's cloud infrastructure SLAs are governed by Acumatica's hosting agreements, not APPSolve's delivery scope.</t>
  </si>
  <si>
    <t>ACU-EXC-001</t>
  </si>
  <si>
    <t>On-premises Acumatica installation, hosting, or infrastructure management — APPSolve delivers Acumatica as a cloud SaaS implementation only.</t>
  </si>
  <si>
    <t>ACU-EXC-002</t>
  </si>
  <si>
    <t>Payroll processing, payroll calculations, PAYE/UIF/SDL management — these are PaySpace's scope. Acumatica is not a payroll system.</t>
  </si>
  <si>
    <t>ACU-EXC-003</t>
  </si>
  <si>
    <t>Tax advisory, tax return preparation, SARS submissions — the client's tax advisors.</t>
  </si>
  <si>
    <t>ACU-EXC-004</t>
  </si>
  <si>
    <t>End-user training beyond the agreed super-user training sessions — the client cascades training to end users.</t>
  </si>
  <si>
    <t>ACU-EXC-005</t>
  </si>
  <si>
    <t>Historical transaction data migration beyond the agreed opening balance snapshot — unless explicitly included.</t>
  </si>
  <si>
    <t>ACU-EXC-006</t>
  </si>
  <si>
    <t>Custom development outside Acumatica's Low-Code/No-Code framework without explicit SOW inclusion and separate pricing.</t>
  </si>
  <si>
    <t>ACU-EXC-007</t>
  </si>
  <si>
    <t>Third-party system integration not explicitly named in the SOW.</t>
  </si>
  <si>
    <t>ACU-EXC-008</t>
  </si>
  <si>
    <t>Acumatica platform outage resolution — Acumatica SaaS SLA governs; client engages Acumatica support directly.</t>
  </si>
  <si>
    <t>ACU-EXC-009</t>
  </si>
  <si>
    <t>Business process consulting beyond the Acumatica implementation scope — change management, org design, process mapping for processes not in Acumatica scope.</t>
  </si>
  <si>
    <t>ACU-EXC-010</t>
  </si>
  <si>
    <t>Acumatica licence negotiation, commercial terms with Acumatica, or software cost reduction advice.</t>
  </si>
  <si>
    <t>138. External Dependencies and Third-Party</t>
  </si>
  <si>
    <t>ACU-EXT-001</t>
  </si>
  <si>
    <t>Acumatica licence procurement is the client's commercial relationship with Acumatica (either directly or via APPSolve as VAR). Acumatica licence cost is not included in APPSolve's implementation fee. Licence delays caused by commercial negotiations between the client and Acumatica are the client's responsibility and are documented as client-side delays if they impact the project schedule.</t>
  </si>
  <si>
    <t>ACU-EXT-002</t>
  </si>
  <si>
    <t>Client IT infrastructure for Acumatica (internet connectivity, user hardware, browser compatibility) is the client's responsibility. Acumatica is a cloud SaaS application accessible via a web browser. APPSolve does not assess, upgrade, or support the client's internal IT infrastructure. Connectivity or hardware issues that prevent users from accessing Acumatica are resolved by the client's IT team.</t>
  </si>
  <si>
    <t>ACU-EXT-003</t>
  </si>
  <si>
    <t>Third-party software certified by Acumatica for use with the Acumatica platform (ISV add-ons from the Acumatica Marketplace) may be recommended by APPSolve where standard Acumatica functionality has gaps. Procurement, licensing, support, and implementation of Acumatica Marketplace ISV products are separately contracted between the client and the ISV. APPSolve may assist with ISV integration configuration where the ISV product is within APPSolve's competency — this assistance is separately scoped. [BU-ACU-004: pending BU Lead confirmation of which Acumatica ISV products APPSolve actively supports]</t>
  </si>
  <si>
    <t>BU-ACU-004</t>
  </si>
  <si>
    <t>ACU-EXT-004</t>
  </si>
  <si>
    <t>Acumatica's SLA (uptime guarantee, disaster recovery, data backup) is governed by Acumatica's SaaS subscription agreement between the client and Acumatica. APPSolve's implementation and AMS SOW does not duplicate or override Acumatica's SaaS SLA. Clients seeking infrastructure SLA guarantees beyond Acumatica's standard SaaS terms must negotiate these directly with Acumatica.</t>
  </si>
  <si>
    <t>ACU-EXT-005</t>
  </si>
  <si>
    <t>SARS eFiling, UIF URS submissions, and other regulatory filings from Acumatica data are the client's responsibility. APPSolve configures Acumatica to support the preparation of filing data. APPSolve is not a tax practitioner and does not submit regulatory filings on behalf of clients.</t>
  </si>
  <si>
    <t>ACU-EXT-006</t>
  </si>
  <si>
    <t>Shipping and logistics carrier integration (DHL, FedEx, local courier API) with Acumatica is separately scoped. Carrier integration for shipment booking, tracking, and cost calculation requires individual scoping and is not a standard Acumatica base implementation item.</t>
  </si>
  <si>
    <t>ACU-EXT-007</t>
  </si>
  <si>
    <t>Retail and Point of Sale (POS) integration with Acumatica (for retail clients selling through physical or online POS systems) is separately scoped. POS system integration complexity varies significantly by POS platform. APPSolve assesses POS integration requirements during pre-sales and scopes them separately from the base Acumatica implementation.</t>
  </si>
  <si>
    <t>ACU-EXT-008</t>
  </si>
  <si>
    <t>Document management system (DMS) integration with Acumatica (SharePoint, OneDrive, DocuWare) is separately scoped. Acumatica's native file management (attaching documents to Acumatica records) is included in the standard implementation. Advanced DMS integration with automated document routing, approval, and archiving is out of scope for the standard implementation.</t>
  </si>
  <si>
    <t>ACU-EXT-009</t>
  </si>
  <si>
    <t>Electronic Data Interchange (EDI) integration with customers or suppliers through Acumatica is separately scoped. EDI integration requires: EDI standards mapping (X12, EDIFACT), VAN or direct EDI connection, and trading partner testing. APPSolve does not assume EDI integration in the standard Acumatica base scope.</t>
  </si>
  <si>
    <t>124. Financials</t>
  </si>
  <si>
    <t>ACU-FIN-001</t>
  </si>
  <si>
    <t>APPSolve configures Acumatica Financials (General Ledger, Accounts Payable, Accounts Receivable, Cash Management) as the core financial module for all Acumatica implementations. The Financials module is the mandatory base for all Acumatica implementations — it cannot be excluded.</t>
  </si>
  <si>
    <t>ACU-FIN-002</t>
  </si>
  <si>
    <t>The client designs the Chart of Accounts (CoA) before configuration begins. APPSolve configures the CoA in Acumatica according to the client's approved design. APPSolve may provide CoA design guidance but does not design the CoA on behalf of the client. CoA changes after design sign-off are a Change Request.</t>
  </si>
  <si>
    <t>ACU-FIN-003</t>
  </si>
  <si>
    <t>Acumatica Financial Periods (fiscal year, fiscal periods) are configured to the client's confirmed fiscal year structure. Period structure changes after configuration sign-off (e.g., switching from calendar to non-calendar year) are a significant Change Request requiring full reconfiguration.</t>
  </si>
  <si>
    <t>ACU-FIN-004</t>
  </si>
  <si>
    <t>Multi-currency is configured where the client operates in multiple currencies. The client confirms: functional currency per entity, currencies to be enabled, and foreign exchange rate source (manual entry or OER/Xignite feed). APPSolve configures the confirmed currencies and rate mechanism. Live FX rate feed integration with a third-party provider is separately scoped.</t>
  </si>
  <si>
    <t>ACU-FIN-005</t>
  </si>
  <si>
    <t>Bank account configuration requires the client to provide: bank name, account number, currency, and branch/sort code for each bank account before configuration begins. Bank reconciliation configuration is included for all configured bank accounts. Direct bank feed integration (automatic statement import from the bank) requires a bank-specific integration and is separately scoped.</t>
  </si>
  <si>
    <t>ACU-FIN-006</t>
  </si>
  <si>
    <t>Accounts Payable configuration includes: supplier master setup, payment terms, approval workflows for invoices and payments, and standard AP reports. AP automation (OCR invoice capture, automated invoice matching) is separately licensed and separately scoped. AP automation is not assumed by default.</t>
  </si>
  <si>
    <t>ACU-FIN-007</t>
  </si>
  <si>
    <t>Accounts Receivable configuration includes: customer master setup, payment terms, AR invoice templates, cash receipt application, and standard AR reports. Credit management, collections automation, and customer portal self-service are separately scoped if required.</t>
  </si>
  <si>
    <t>ACU-FIN-008</t>
  </si>
  <si>
    <t>Fixed Assets management in Acumatica (asset register, depreciation, disposal) is included where explicitly stated in the SOW. Asset register migration (historical asset data, accumulated depreciation) is a separately scoped data migration item. Impairment testing, revaluation, and IFRS 16 lease accounting are out of scope unless explicitly included.</t>
  </si>
  <si>
    <t>ACU-FIN-009</t>
  </si>
  <si>
    <t>Tax configuration for South Africa (VAT, WHT) is included as a standard configuration item. SARS eFiling integration is out of scope — tax submissions are prepared in Acumatica and filed by the client directly via SARS eFiling. International tax jurisdictions (non-SA VAT, US sales tax, EU VAT) require separate specialist configuration and are out of scope for the standard South African Acumatica implementation.</t>
  </si>
  <si>
    <t>ACU-FIN-010</t>
  </si>
  <si>
    <t>Period-end close procedures (month-end, year-end) are documented in the operations runbook. APPSolve facilitates the first month-end close post go-live as part of the standard hypercare period. The client's finance team is trained to execute subsequent period-end close procedures independently.</t>
  </si>
  <si>
    <t>ACU-FIN-011</t>
  </si>
  <si>
    <t>APPSolve configures Acumatica accounts receivable invoice templates to comply with South Africa's VAT Act requirements for a valid tax invoice, including all mandatory fields (supplier name, supplier VAT registration number, "Tax Invoice" heading, sequential invoice number, invoice date, description of supply, taxable amount, VAT amount, and total amount including VAT). Standard Acumatica invoice templates are used as the configuration baseline. Custom invoice template design beyond standard SARS compliance (branded layouts, non-standard field arrangements, or multi-page formats) is separately scoped.</t>
  </si>
  <si>
    <t>120. General Engagement Scope</t>
  </si>
  <si>
    <t>ACU-GEN-001</t>
  </si>
  <si>
    <t>APPSolve's Acumatica engagement scope is limited to the modules, entities, and workstreams explicitly named in the Statement of Work. Any Acumatica module, business entity, or business process not named in the SOW is out of scope. If the client identifies additional scope during delivery, these items are treated as Change Requests.</t>
  </si>
  <si>
    <t>ACU-GEN-002</t>
  </si>
  <si>
    <t>APPSolve implements Acumatica as a cloud SaaS platform. APPSolve does not deploy, configure, or support Acumatica on-premises installations. Clients requiring on-premises deployment must engage a different implementation partner. Any request to modify this scope is a category error, not a Change Request.</t>
  </si>
  <si>
    <t>ACU-GEN-003</t>
  </si>
  <si>
    <t>Acumatica licences are procured by APPSolve as a Value-Added Reseller (VAR) or directly by the client. Unlike most ERP platforms, Acumatica's SaaS subscription is priced on a resource-consumption basis — not per named user or per concurrent user. The number of system users does not drive the licence cost; the allocated computing resource tier does. Unlimited users can be added to an Acumatica subscription without additional per-user licence fees; however, if resource consumption exceeds the subscribed tier, a tier upgrade is required. The appropriate resource tier is confirmed before implementation commences based on estimated transaction volumes and user activity levels. APPSolve cannot begin implementation configuration until the Acumatica licence is active in the client's tenant.</t>
  </si>
  <si>
    <t>ACU-GEN-004</t>
  </si>
  <si>
    <t>APPSolve assumes the client has identified and committed named business owners for each Acumatica module in scope. Business owners are accountable for: approving configuration decisions, providing master data, completing User Acceptance Testing, and attending training sessions. Without committed business owners, APPSolve cannot progress key project milestones.</t>
  </si>
  <si>
    <t>ACU-GEN-005</t>
  </si>
  <si>
    <t>APPSolve's Acumatica implementation uses Acumatica's standard out-of-the-box functionality as the starting point for all business process designs. Customisation is considered only after a documented business justification confirms that the standard functionality does not meet the business requirement. Customisation for convenience or aesthetic preference is not approved by default.</t>
  </si>
  <si>
    <t>ACU-GEN-006</t>
  </si>
  <si>
    <t>APPSolve assumes the client's business processes will be adapted to align with Acumatica's standard workflows where feasible. Business process re-engineering to force Acumatica to replicate legacy system behaviour is out of scope unless explicitly included. The engagement is an Acumatica implementation, not a legacy system replication project.</t>
  </si>
  <si>
    <t>ACU-GEN-007</t>
  </si>
  <si>
    <t>APPSolve delivers Acumatica implementations using a structured methodology (Mobilise → Scope &amp; Design → Configure → Validate → Deploy → Evolve). The client's project sponsor and project manager are required to participate in all milestone reviews and project governance meetings. Missed milestone reviews delay the project timeline and are documented as client-side delays.</t>
  </si>
  <si>
    <t>ACU-GEN-008</t>
  </si>
  <si>
    <t>APPSolve assumes a single Acumatica tenant for the engagement unless multiple tenants are explicitly included in the SOW. Multiple tenants (e.g., separate production tenants for subsidiary entities with different Acumatica licence contracts) are a separately scoped and separately priced item.</t>
  </si>
  <si>
    <t>ACU-GEN-009</t>
  </si>
  <si>
    <t>APPSolve assumes the client holds a valid Acumatica Gold Partner endorsement from APPSolve for all Acumatica implementations. Proposals citing APPSolve's Acumatica partner credentials must reflect the current partnership tier. APPSolve does not hold Acumatica Gold Certified status — proposals must not cite "Gold Certified."</t>
  </si>
  <si>
    <t>ACU-GEN-010</t>
  </si>
  <si>
    <t>APPSolve appoints a Lead Consultant or Solution Architect as the primary APPSolve delivery contact for all Acumatica implementations. A dedicated APPSolve Project Manager is included where explicitly stated in the SOW. Where a dedicated APPSolve Project Manager is not in scope, the client's Project Manager is responsible for overall project coordination and APPSolve's Lead Consultant manages APPSolve-side delivery activities. [BU-ACU-014: pending BU Lead decision on whether a dedicated APPSolve PM is included by default for all implementations or only for full-suite engagements]</t>
  </si>
  <si>
    <t>BU-ACU-014</t>
  </si>
  <si>
    <t>132. Integration</t>
  </si>
  <si>
    <t>ACU-INT-001</t>
  </si>
  <si>
    <t>Acumatica integrations with third-party systems are in scope only where explicitly named in the SOW. Every integration is individually scoped. The standard integration complexity tiers apply: Simple (standard Acumatica connector or simple API), Standard (custom API with mapping), Complex (multi-step workflow, transformation logic, event-driven). [BU-ACU-002: pending BU Lead confirmation of Acumatica integration tier definitions]</t>
  </si>
  <si>
    <t>BU-ACU-002</t>
  </si>
  <si>
    <t>ACU-INT-002</t>
  </si>
  <si>
    <t>Acumatica's native REST API is used for all real-time integrations. File-based integrations use Acumatica's Import Scenarios or scheduled file exchange. The integration method for each integration point is confirmed during Scope &amp; Design. APPSolve does not use SOAP-based integration for new Acumatica integrations.</t>
  </si>
  <si>
    <t>ACU-INT-003</t>
  </si>
  <si>
    <t>BeBanking Host-to-Host banking integration with Acumatica is included where BeBanking is in scope per the SOW. The BeBanking-Acumatica integration is a separately scoped item — it is not included in the standard Acumatica Base pack. BeBanking integration scope, banking partners, and payment file formats are confirmed in the BeBanking scope definition.</t>
  </si>
  <si>
    <t>ACU-INT-004</t>
  </si>
  <si>
    <t>E-commerce platform integration (Shopify, WooCommerce, Magento) with Acumatica is separately scoped. APPSolve does not include e-commerce integration as a standard Acumatica implementation item. Standard Acumatica connectors exist for popular e-commerce platforms; however, each integration requires individual scoping due to the variation in product catalogue, order management, and fulfilment workflow complexity.</t>
  </si>
  <si>
    <t>ACU-INT-005</t>
  </si>
  <si>
    <t>Third-party logistics (3PL) integration with Acumatica is separately scoped. If the client uses a 3PL provider for fulfilment, the 3PL integration (stock receipt, dispatch notification, inventory sync) requires individual scoping and is not a standard Acumatica implementation item.</t>
  </si>
  <si>
    <t>ACU-INT-006</t>
  </si>
  <si>
    <t>Integration testing requires the third-party system's test environment to be available and stable. APPSolve cannot execute integration testing if the third-party test environment is unavailable. Third-party test environment unavailability is documented as a third-party delay. APPSolve adjusts the project schedule to accommodate third-party delays, and the client bears the cost of any schedule extension caused by third-party delays.</t>
  </si>
  <si>
    <t>ACU-INT-007</t>
  </si>
  <si>
    <t>Post-go-live monitoring of Acumatica integrations (API call health, file transfer completion, import/export success and failure notifications) is the client's operational responsibility unless explicitly included in an Acumatica AMS SOW. During implementation, APPSolve configures Acumatica's standard integration error notification mechanisms (email alerts, failed import notifications, Business Event triggers for integration failures). Proactive integration monitoring, automated alerting to APPSolve, and integration error log review as an operational activity are AMS scope items and are not included in the standard implementation.</t>
  </si>
  <si>
    <t>ACU-INT-008</t>
  </si>
  <si>
    <t>Where Oracle Integration Cloud (OIC) is available in the client's environment and proposed by APPSolve as the middleware layer for Acumatica integrations, the OIC Assumption Pack (OIC-ASSUMPTIONS-V1) governs the OIC components of the integration. The ACU-INT assumptions govern the Acumatica-side integration configuration. The decision to use OIC as Acumatica integration middleware is confirmed at pre-sales and documented in the SOW. Where OIC is not proposed, Acumatica's native REST API and Import Scenarios are used as per ACU-INT-002.</t>
  </si>
  <si>
    <t>126. Inventory and Warehouse</t>
  </si>
  <si>
    <t>ACU-INV-001</t>
  </si>
  <si>
    <t>Inventory management configuration is included where the Acumatica Inventory module is in scope per the SOW. Inventory configuration covers: item class setup, warehouse/location structure, unit of measure definitions, lot/serial tracking (where applicable), and standard inventory valuation method (FIFO, average cost, or standard cost — confirmed during Scope &amp; Design).</t>
  </si>
  <si>
    <t>ACU-INV-002</t>
  </si>
  <si>
    <t>Warehouse configuration covers the warehouses explicitly named in the SOW. Each additional warehouse not in the SOW is a Change Request. Multi-warehouse and multi-bin location structures are included where confirmed. Third-party warehouse management systems (WMS) integration is separately scoped.</t>
  </si>
  <si>
    <t>ACU-INV-003</t>
  </si>
  <si>
    <t>Inventory opening balances (quantity on hand and cost) are migrated as at the agreed cut-over date. APPSolve migrates the agreed inventory snapshot. Historic inventory transactions are not migrated. Inventory accuracy at cut-over is the client's responsibility — APPSolve validates the migration against the client-provided inventory count.</t>
  </si>
  <si>
    <t>ACU-INV-004</t>
  </si>
  <si>
    <t>Barcode and scanning integration for warehouse operations (using Acumatica's WMS functionality or third-party devices) is separately scoped. Standard Acumatica inventory management uses manual data entry or Acumatica's mobile warehouse app. Complex WMS integrations with conveyor systems, automated storage, or RFID are out of scope for the standard implementation.</t>
  </si>
  <si>
    <t>ACU-INV-005</t>
  </si>
  <si>
    <t>Replenishment and demand planning configuration in Acumatica (min/max, reorder points, demand forecasting) is included where explicitly stated in the SOW. Advanced supply chain planning (APS) and external demand forecasting tool integration are out of scope for the standard Acumatica implementation.</t>
  </si>
  <si>
    <t>131. Manufacturing</t>
  </si>
  <si>
    <t>ACU-MFG-001</t>
  </si>
  <si>
    <t>Acumatica Manufacturing configuration is included where the Manufacturing module is in scope per the SOW. The manufacturing scope is confirmed during Scope &amp; Design and covers the manufacturing processes explicitly named. APPSolve implements Acumatica Manufacturing for discrete manufacturing (Bill of Materials, Production Orders, Shop Floor). Process manufacturing and repetitive manufacturing require separate assessment.</t>
  </si>
  <si>
    <t>ACU-MFG-002</t>
  </si>
  <si>
    <t>Bill of Materials (BOM) data migration requires the client to provide the complete BOM structure in the APPSolve-supplied template. BOM data is typically the most complex master data migration in a manufacturing implementation. Incomplete or inaccurate BOM data significantly impacts configuration progress. The client's engineering or production team must validate BOM data before migration.</t>
  </si>
  <si>
    <t>ACU-MFG-003</t>
  </si>
  <si>
    <t>Production order management (work order creation, shop floor scheduling, labour and material issue, production order costing) is configured per the client's confirmed production process. Shop floor data collection via barcode scanning or IoT integration is separately scoped.</t>
  </si>
  <si>
    <t>ACU-MFG-004</t>
  </si>
  <si>
    <t>Acumatica's Material Requirements Planning (MRP) is included where explicitly stated in the SOW. MRP configuration requires confirmed lead times, reorder quantities, and supplier data. APPSolve configures MRP parameters during Scope &amp; Design. Advanced planning and scheduling (APS) tools that replace or supplement Acumatica MRP are out of scope.</t>
  </si>
  <si>
    <t>ACU-MFG-005</t>
  </si>
  <si>
    <t>Quality management (quality control holds, inspection orders, non-conformance reports) in Acumatica is included where explicitly stated in the SOW. Third-party quality management system (QMS) integration is separately scoped.</t>
  </si>
  <si>
    <t>125. Organisation Structure</t>
  </si>
  <si>
    <t>ACU-ORG-001</t>
  </si>
  <si>
    <t>The number of Acumatica legal entities (companies/branches) configured is confirmed in the SOW before implementation begins. Each additional legal entity beyond the base scope is a separately scoped item with its own configuration effort estimate. The entity count directly affects implementation effort and licence requirements.</t>
  </si>
  <si>
    <t>ACU-ORG-002</t>
  </si>
  <si>
    <t>APPSolve assumes the client's legal entity structure is finalised before configuration begins. Adding or changing legal entities after the organisation structure is signed off is a Change Request. Legal entity changes during implementation are among the highest-impact Change Requests.</t>
  </si>
  <si>
    <t>ACU-ORG-003</t>
  </si>
  <si>
    <t>Inter-company transactions between Acumatica entities are configured where confirmed in the SOW. The volume and types of inter-company transactions (stock transfers, cost allocations, management fees, loans) are defined during Scope &amp; Design. Complex inter-company netting and reconciliation workflows are separately scoped.</t>
  </si>
  <si>
    <t>ACU-ORG-004</t>
  </si>
  <si>
    <t>Branch accounting (sub-entity reporting within a single legal entity) is configured as part of the standard Financials configuration. The chart of accounts supports branch segmentation through Acumatica's subaccount structure. APPSolve configures the subaccount structure according to the client's approved design.</t>
  </si>
  <si>
    <t>ACU-ORG-005</t>
  </si>
  <si>
    <t>Acumatica's approval workflow engine is configured for the approval processes confirmed during Scope &amp; Design. The standard scope covers: purchase requisition approval, purchase order approval, AP invoice approval, and expense claim approval. Additional approval processes are a Change Request. Complex multi-level, multi-condition approval trees are separately scoped.</t>
  </si>
  <si>
    <t>ACU-ORG-006</t>
  </si>
  <si>
    <t>Consolidated financial reporting across multiple Acumatica entities (consolidated profit and loss statement, consolidated balance sheet, group-level management accounts) requires consolidation ledger configuration and inter-company elimination rules. Consolidated reporting is not assumed by default for multi-entity implementations and is separately scoped. The number of entities, elimination rules, and reporting periods covered by consolidation are confirmed during Scope &amp; Design and documented in the SOW. [BU-ACU-015: pending BU Lead decision on whether consolidated reporting is included by default for multi-entity implementations]</t>
  </si>
  <si>
    <t>BU-ACU-015</t>
  </si>
  <si>
    <t>128. PaySpace Payroll Integration</t>
  </si>
  <si>
    <t>ACU-PAY-001</t>
  </si>
  <si>
    <t>Payroll is not a native Acumatica module in South Africa. APPSolve integrates Acumatica with PaySpace as the standard South African payroll system. Payroll processing, PAYE calculations, UIF/SDL deductions, and IRP5/EMP501 submissions are PaySpace's scope — not Acumatica's and not APPSolve's payroll scope. [BU-ACU-001: pending BU Lead decision on the standard integration method for Acumatica-PaySpace]</t>
  </si>
  <si>
    <t>BU-ACU-001</t>
  </si>
  <si>
    <t>ACU-PAY-002</t>
  </si>
  <si>
    <t>The Acumatica-PaySpace integration scope covers: payroll journal postings from PaySpace to Acumatica GL (ensuring payroll costs are reflected in Acumatica's general ledger). The integration does not cover: individual employee pay slip data, leave balances, or HR management information in Acumatica. These remain in PaySpace.</t>
  </si>
  <si>
    <t>ACU-PAY-003</t>
  </si>
  <si>
    <t>APPSolve assumes the client is an active PaySpace subscriber with a confirmed PaySpace account before integration design begins. APPSolve does not procure, set up, or configure PaySpace. PaySpace configuration and payroll processing are PaySpace's (or the client's PaySpace implementation partner's) responsibility.</t>
  </si>
  <si>
    <t>ACU-PAY-004</t>
  </si>
  <si>
    <t>The Acumatica-PaySpace integration uses one of the following methods, confirmed during Scope &amp; Design: (a) API integration between PaySpace and Acumatica; (b) custom middleware-based integration; (c) structured file-based import (automated or manual); (d) manual journal import using Acumatica's import scenarios. The integration method is confirmed before SOW sign-off. [BU-ACU-001: method confirmation required]</t>
  </si>
  <si>
    <t>ACU-PAY-005</t>
  </si>
  <si>
    <t>Payroll General Ledger mapping (PaySpace payroll codes mapped to Acumatica GL accounts, departments, and branches) requires input from both the client's payroll team (PaySpace pay component codes) and finance team (GL account structure). APPSolve cannot design the GL mapping without both inputs. Mapping sign-off is a mandatory milestone before integration configuration begins.</t>
  </si>
  <si>
    <t>ACU-PAY-006</t>
  </si>
  <si>
    <t>Integration testing for Acumatica-PaySpace requires a live PaySpace test environment with representative payroll data. The client's PaySpace administrator must provide test environment access and coordinate PaySpace-side testing activities. APPSolve cannot execute integration testing without PaySpace test environment access.</t>
  </si>
  <si>
    <t>ACU-PAY-007</t>
  </si>
  <si>
    <t>PaySpace is the system of record for all payroll data (employee records, earnings, deductions, tax calculations, leave). Acumatica is the system of record for financial accounting. The integration is one-directional for payroll: PaySpace → Acumatica GL. Acumatica does not send HR or payroll data to PaySpace.</t>
  </si>
  <si>
    <t>ACU-PAY-008</t>
  </si>
  <si>
    <t>APPSolve's standard Acumatica payroll integration is designed for PaySpace. Clients using alternative South African payroll systems (VIP Payroll, Sage Business Cloud Payroll, SimplePay, or other providers) require a separate payroll integration assessment at pre-sales. Non-PaySpace payroll integration is not covered by the ACU-PAY assumptions and must be separately scoped and explicitly included in the SOW. [BU-ACU-011: pending BU Lead decision on APPSolve's standard position for clients using non-PaySpace payroll systems]</t>
  </si>
  <si>
    <t>BU-ACU-011</t>
  </si>
  <si>
    <t>130. Project Accounting</t>
  </si>
  <si>
    <t>ACU-PRJ-001</t>
  </si>
  <si>
    <t>Acumatica Project Accounting configuration is included where the Project Accounting module is in scope per the SOW. Project Accounting scope covers: project template setup, project budget configuration, time and expense entry, project billing, and project profitability reporting.</t>
  </si>
  <si>
    <t>ACU-PRJ-002</t>
  </si>
  <si>
    <t>APPSolve configures the project cost code structure, project tasks, and project budget categories based on the client's confirmed project management methodology. The client provides the project structure definition before configuration begins. Complex multi-level work breakdown structures (WBS) are supported by Acumatica's Project Accounting module and are configured per the agreed design.</t>
  </si>
  <si>
    <t>ACU-PRJ-003</t>
  </si>
  <si>
    <t>Time entry configuration for project time tracking (employee time against project tasks) is included where time-based billing is in scope. The client confirms the time entry approval workflow before configuration. Mobile time entry via the Acumatica mobile app is available as standard functionality.</t>
  </si>
  <si>
    <t>ACU-PRJ-004</t>
  </si>
  <si>
    <t>Project billing (time-and-materials billing, fixed-price milestone billing, cost-plus billing) is configured per the billing models confirmed during Scope &amp; Design. APPSolve supports Acumatica's standard billing models. Custom billing logic outside Acumatica's standard billing types is separately scoped.</t>
  </si>
  <si>
    <t>ACU-PRJ-005</t>
  </si>
  <si>
    <t>Project Accounting integration with Acumatica Payroll (for labour cost allocation from PaySpace to projects) follows the same integration model as the standard ACU-PAY integration. The PaySpace-to-Acumatica GL journal must carry project coding for project cost allocation to work. Project costing from payroll requires confirmed GL mapping that includes the project dimension.</t>
  </si>
  <si>
    <t>127. Purchasing and Procurement</t>
  </si>
  <si>
    <t>ACU-PUR-001</t>
  </si>
  <si>
    <t>Purchase Requisition and Purchase Order management is configured as part of the standard Acumatica Financials or Distribution scope. Procurement workflow configuration (requisition creation, PO approval, goods receipt, three-way match) is included. Three-way match (PO + GRN + invoice) is the default matching standard.</t>
  </si>
  <si>
    <t>ACU-PUR-002</t>
  </si>
  <si>
    <t>Supplier master configuration is included. The client provides the confirmed supplier master data file before migration. APPSolve configures supplier payment terms, payment methods, bank details (for EFT payments), and tax categories. Supplier self-service portal configuration is out of scope unless explicitly included.</t>
  </si>
  <si>
    <t>ACU-PUR-003</t>
  </si>
  <si>
    <t>Contract management in Acumatica (blanket POs, supplier contracts, price agreements) is included where explicitly stated in the SOW. Complex contract lifecycle management (CLM) integration with a specialist CLM tool is out of scope.</t>
  </si>
  <si>
    <t>ACU-PUR-004</t>
  </si>
  <si>
    <t>E-procurement or supplier punchout integration (e.g., SAP Ariba, Coupa punchout) is out of scope for the standard implementation. APPSolve does not configure punchout catalogues. If the client requires e-procurement integration, this is a separately scoped integration item.</t>
  </si>
  <si>
    <t>133. Reporting and Analytics</t>
  </si>
  <si>
    <t>ACU-REP-001</t>
  </si>
  <si>
    <t>Standard Acumatica reports (financial statements, aging reports, inventory reports, purchase and sales reports) are included in the standard implementation. APPSolve configures the standard report set for each module in scope. Custom reports outside the standard Acumatica report library are delivered using Report Designer and are separately scoped.</t>
  </si>
  <si>
    <t>ACU-REP-002</t>
  </si>
  <si>
    <t>Generic Inquiries (GIs) are APPSolve's primary tool for ad-hoc data views. APPSolve delivers a defined set of GIs during Scope &amp; Design. The client's super-users are trained to create and modify GIs after go-live. APPSolve does not create unlimited GIs on demand during or after the implementation.</t>
  </si>
  <si>
    <t>ACU-REP-003</t>
  </si>
  <si>
    <t>Acumatica's built-in dashboards are configured using standard Acumatica widgets and GI sources. APPSolve configures role-based dashboards as defined during Scope &amp; Design. The number of dashboards is agreed and documented in the SOW. Additional dashboards beyond the agreed set are a Change Request.</t>
  </si>
  <si>
    <t>ACU-REP-004</t>
  </si>
  <si>
    <t>External BI tool integration (Power BI, Tableau, QlikView) with Acumatica data is not included in the standard implementation. If the client requires BI tool connectivity to Acumatica data, this is a separately scoped integration item using Acumatica's OData feed or Direct SQL access (where Acumatica's database access policy permits). [BU-ACU-003: pending BU Lead decision on whether BI connector configuration is a standard or separately scoped item]</t>
  </si>
  <si>
    <t>BU-ACU-003</t>
  </si>
  <si>
    <t>ACU-REP-005</t>
  </si>
  <si>
    <t>Compliance reports (SARS VAT returns, management accounts, regulatory filings) are based on Acumatica's standard financial data. APPSolve configures Acumatica to support the preparation of these reports. APPSolve does not prepare or submit regulatory filings on the client's behalf — submissions are the client's responsibility.</t>
  </si>
  <si>
    <t>ACU-SEC-001</t>
  </si>
  <si>
    <t>APPSolve configures Acumatica's role-based access control framework (user roles, module-level access rights, screen-level permissions) based on the access role framework defined and confirmed during Scope &amp; Design. APPSolve delivers a set of standard roles aligned to the business processes in scope. Additional roles beyond the agreed set are a Change Request. Post-go-live user provisioning, role assignment, and deprovisioning are the client's IT or systems administrator's responsibility.</t>
  </si>
  <si>
    <t>ACU-SEC-002</t>
  </si>
  <si>
    <t>In multi-entity Acumatica implementations, branch and company-level access restriction (configuring which users can view and transact against which entities and branches) is configured by APPSolve as part of the standard security setup, based on the access matrix confirmed and signed off during Scope &amp; Design. Changes to the access matrix after security configuration sign-off are a Change Request.</t>
  </si>
  <si>
    <t>ACU-SEC-003</t>
  </si>
  <si>
    <t>Acumatica's cloud SaaS platform hosts client data in Acumatica's infrastructure. Data residency location is determined by Acumatica's hosting arrangements and is not within APPSolve's control. South African clients with regulatory requirements for data residency, data sovereignty, or POPIA compliance for personal or financial data must confirm Acumatica's data residency options and data processing agreements directly with Acumatica before engagement commences. APPSolve will assist with pre-sales data residency discussions but cannot contractually guarantee South African data residency for Acumatica SaaS. [BU-ACU-012: pending BU Lead decision on the standard POPIA data residency disclosure approach in Acumatica proposals]</t>
  </si>
  <si>
    <t>BU-ACU-012</t>
  </si>
  <si>
    <t>137. Support and AMS</t>
  </si>
  <si>
    <t>ACU-SUP-001</t>
  </si>
  <si>
    <t>Acumatica support after the hypercare period is provided under a separate AMS (Application Managed Services) SOW. The standard Acumatica implementation ends at hypercare close. Post-hypercare operational support is not included in the implementation SOW.</t>
  </si>
  <si>
    <t>ACU-SUP-002</t>
  </si>
  <si>
    <t>Acumatica software updates and version upgrades are managed by Acumatica as part of the SaaS subscription. APPSolve does not control Acumatica's release schedule. Under an Acumatica AMS SOW, APPSolve assesses the impact of Acumatica updates, tests critical business processes in the non-Production environment, and coordinates the client's sign-off before the update is applied to Production.</t>
  </si>
  <si>
    <t>ACU-SUP-003</t>
  </si>
  <si>
    <t>Acumatica platform support (hosting, infrastructure, uptime) is Acumatica's responsibility under the SaaS subscription. APPSolve is not the escalation path for Acumatica platform outages. APPSolve assists the client in raising Acumatica support cases where the issue is confirmed to be a platform defect.</t>
  </si>
  <si>
    <t>ACU-SUP-004</t>
  </si>
  <si>
    <t>Under an Acumatica AMS SOW, APPSolve's scope covers the modules and integrations named in the AMS SOW. Modules or integrations not named in the AMS SOW are not covered. AMS scope expansion requires a SOW amendment.</t>
  </si>
  <si>
    <t>ACU-SUP-005</t>
  </si>
  <si>
    <t>Bug fixes vs. enhancement requests in an Acumatica AMS context follow the same definitions as the AMS Assumption Pack (ACU-AMS cross-reference). A configuration defect that reproduces consistently and causes a business process to fail is a bug. A request to change how a business process works, add new functionality, or improve the user experience is an enhancement — not a bug — and is a Change Request under AMS.</t>
  </si>
  <si>
    <t>ACU-SUP-006</t>
  </si>
  <si>
    <t>When Acumatica releases a new version, Acumatica Marketplace ISV products installed in the client's tenant may require compatibility updates from their respective ISV vendors. Under an Acumatica AMS SOW, APPSolve identifies known ISV compatibility issues as part of the version impact assessment and notifies the client. APPSolve cannot apply a Acumatica version update that breaks a confirmed ISV product until the ISV vendor releases a compatible version. Delays caused by ISV update timelines are outside APPSolve's control; the client should maintain active support agreements with any ISV vendors to ensure timely compatibility updates.</t>
  </si>
  <si>
    <t>ACU-SUP-007</t>
  </si>
  <si>
    <t>Under an Acumatica AMS SOW, APPSolve's version impact assessment and regression testing activities require access to the client's non-Production Acumatica environment. Continuity of the non-Production environment is the client's responsibility under their Acumatica SaaS subscription. If the non-Production environment is not maintained or is decommissioned after implementation go-live, APPSolve's ability to validate updates before applying them to the Production environment is materially impaired. Clients are strongly advised to retain their non-Production environment as part of their ongoing Acumatica subscription.</t>
  </si>
  <si>
    <t>ACU-SUP-008</t>
  </si>
  <si>
    <t>Under an Acumatica AMS SOW, the Acumatica version update process follows this sequence: (a) APPSolve applies the update to the non-Production environment; (b) APPSolve tests critical business processes in non-Production; (c) the client's nominated testers complete regression testing and provide written sign-off confirming the update does not break business-critical processes; (d) APPSolve applies the update to the Production environment. No Acumatica update is applied to Production without the client's written sign-off from step (c). Regression testing in step (c) is the client's operational responsibility.</t>
  </si>
  <si>
    <t>134. Training</t>
  </si>
  <si>
    <t>ACU-TRN-001</t>
  </si>
  <si>
    <t>APPSolve provides end-user training for all Acumatica modules in scope. Training is delivered to the client's named super-users and key users, not to all end users. The client's super-users are responsible for training remaining end users after APPSolve's training engagement concludes. Training for more than the agreed number of users is a Change Request.</t>
  </si>
  <si>
    <t>ACU-TRN-002</t>
  </si>
  <si>
    <t>Training delivery format is agreed with the client before the training schedule is finalised. Standard options: on-site facilitated training, virtual facilitated training (Teams/Zoom), or self-paced training using Acumatica's Open University. APPSolve's standard delivery format is virtual facilitated training. On-site training incurs travel and accommodation costs, which are billed separately.</t>
  </si>
  <si>
    <t>ACU-TRN-003</t>
  </si>
  <si>
    <t>APPSolve provides training materials (process guides and quick-reference cards) for the modules in scope. Training materials are provided in English. Materials in other languages are not included. Branded training materials with the client's company logo and terminology are separately scoped.</t>
  </si>
  <si>
    <t>ACU-TRN-004</t>
  </si>
  <si>
    <t>Acumatica Open University (Acumatica's self-paced online learning platform) is available to all Acumatica licence holders at no additional cost. APPSolve recommends that key users complete relevant Acumatica Open University courses before APPSolve's facilitated training sessions. Pre-training completion of Open University courses is strongly recommended but not mandated.</t>
  </si>
  <si>
    <t>ACU-TRN-005</t>
  </si>
  <si>
    <t>Training is conducted in the non-Production environment using representative data loaded during UAT. Training is not conducted in the Production environment. If the non-Production environment is unavailable for training (due to configuration activity), the training schedule is adjusted with the client.</t>
  </si>
  <si>
    <t>ACU-TRN-006</t>
  </si>
  <si>
    <t>Organisational change management (stakeholder communication, executive sponsorship, end-user adoption planning, and resistance management) is the client's responsibility. APPSolve's training delivery and documentation support the client's change management programme but do not replace it. Where the implementation involves significant process changes or large user populations, APPSolve recommends the client engage specialist change management support. Change management consulting services from APPSolve are separately scoped if required.</t>
  </si>
  <si>
    <t>135. Testing</t>
  </si>
  <si>
    <t>ACU-UAT-001</t>
  </si>
  <si>
    <t>User Acceptance Testing (UAT) is the client's responsibility. APPSolve provides: a UAT test plan framework, UAT test scenarios aligned to the configured business processes, a UAT defect log, and UAT support during the testing window. APPSolve does not execute UAT on behalf of the client.</t>
  </si>
  <si>
    <t>ACU-UAT-002</t>
  </si>
  <si>
    <t>The UAT test scenarios are prepared based on the business processes confirmed during Scope &amp; Design. The client's UAT team is responsible for executing the test scenarios, recording actual results, and logging defects. APPSolve resolves defects classified as configuration defects within the UAT window. Scope changes identified during UAT are Change Requests.</t>
  </si>
  <si>
    <t>ACU-UAT-003</t>
  </si>
  <si>
    <t>APPSolve assumes a single UAT cycle with one remediation pass. If UAT requires more than one remediation cycle (e.g., because of significant scope changes identified during UAT, or because defect volume is high), additional UAT cycles are a Change Request.</t>
  </si>
  <si>
    <t>ACU-UAT-004</t>
  </si>
  <si>
    <t>Regression testing after configuration changes or Acumatica updates is the client's responsibility during and after UAT. APPSolve provides guidance on test scenarios for regression testing but does not execute regression testing after the UAT cycle is complete.</t>
  </si>
  <si>
    <t>ACU-UAT-005</t>
  </si>
  <si>
    <t>UAT sign-off (written client approval that UAT is complete and the system is accepted for go-live) is a mandatory project milestone. Go-live does not proceed without UAT sign-off from the client's project sponsor. APPSolve may proceed to go-live preparation in parallel with UAT finalisation if the open defect list contains only minor non-blocking items agreed in writing with the client.</t>
  </si>
  <si>
    <t>BeBanking Base</t>
  </si>
  <si>
    <t>141. Banking Relationships</t>
  </si>
  <si>
    <t>BB-BNK-001</t>
  </si>
  <si>
    <t>BeBanking currently supports the following banking partners: South African — ABSA, FNB, Nedbank, Standard Bank, and Investec; International — Citi Bank UK and Santander Bank Chile. Connectivity to any bank not on this list requires a new bank onboarding assessment and is separately scoped. [BU-BB-001: pending BU Lead decision on the standard supported bank list and whether additional SA banks are in standard scope]</t>
  </si>
  <si>
    <t>BU-BB-001</t>
  </si>
  <si>
    <t>BB-BNK-002</t>
  </si>
  <si>
    <t>BeBanking connects to client banks using bank-sanctioned connectivity mechanisms. APPSolve does not hold or claim direct SWIFT membership. All cross-border and inter-bank payment instructions are transmitted through the client's bank, which acts as the SWIFT intermediary.</t>
  </si>
  <si>
    <t>BB-BNK-003</t>
  </si>
  <si>
    <t>Each new bank connectivity requires a formal registration and certification process between APPSolve and the bank. Bank onboarding timelines, approval processes, and certification requirements are controlled by the bank and outside APPSolve's control. Standard bank onboarding is assumed to take 4–8 weeks from bank registration submission to confirmed production connectivity approval.</t>
  </si>
  <si>
    <t>BB-BNK-004</t>
  </si>
  <si>
    <t>The client is responsible for maintaining their bank account structure (account numbers, branch codes, beneficiary payment limits, authorised signatories, and payment channel agreements) with their bank. APPSolve configures BeBanking to use the client's confirmed account structure. Changes to the bank account structure after BeBanking configuration are a Change Request.</t>
  </si>
  <si>
    <t>BB-BNK-005</t>
  </si>
  <si>
    <t>BeBanking does not hold client funds, operate as a payment service provider, or act as a licensed financial institution. All payment instructions are transmitted from the client's designated bank accounts via the client's bank under the client's payment authority. APPSolve's role is to transmit payment files to the bank on behalf of the client.</t>
  </si>
  <si>
    <t>BB-BNK-006</t>
  </si>
  <si>
    <t>The client is responsible for establishing and maintaining all bank agreements required for BeBanking to operate. This includes: Host-to-Host agreements, bulk payment facility agreements, SFTP or API access agreements, and any bank-specific channel activation requirements. These agreements must be in place and confirmed before BeBanking bank connectivity testing begins.</t>
  </si>
  <si>
    <t>BB-BNK-007</t>
  </si>
  <si>
    <t>BeBanking supports SFTP-based and API-based connectivity with banks. The specific connectivity method used for each bank is determined during the bank onboarding assessment. Where a bank supports multiple connectivity methods, APPSolve recommends the most reliable and maintainable method available.</t>
  </si>
  <si>
    <t>BB-BNK-008</t>
  </si>
  <si>
    <t>Bank file format specifications — payment file layouts, statement file layouts, and acknowledgement file layouts — are bank-defined and may be updated by the bank. APPSolve implements BeBanking to the bank's published specification at the time of onboarding. Bank-initiated format changes post-go-live are addressed under the agreed support or AMS arrangement and are assessed per BB-SUP-007.</t>
  </si>
  <si>
    <t>BB-BNK-009</t>
  </si>
  <si>
    <t>Namibian banking connectivity (Nedbank Namibia, Standard Bank Namibia) is available where the client has confirmed banking relationships with those entities. Namibian H2H implementations carry additional onboarding effort compared to South African implementations and are separately scoped. [BU-BB-007: pending BU Lead decision on standard scope of multi-country implementations]</t>
  </si>
  <si>
    <t>BU-BB-007</t>
  </si>
  <si>
    <t>BB-BNK-010</t>
  </si>
  <si>
    <t>BeBanking does not include cash management, overdraft facility management, interest calculation, or treasury management functions. BeBanking is a payment instruction and bank statement processing platform only.</t>
  </si>
  <si>
    <t>150. Cutover and Go-Live</t>
  </si>
  <si>
    <t>BB-CUT-001</t>
  </si>
  <si>
    <t>BeBanking production go-live is authorised only after all of the following conditions are confirmed: (a) bank connectivity tested and approved in the Production environment; (b) ERP integration tested and client-accepted in the UAT environment; (c) all user accounts configured, tested, and user access confirmed; (d) written UAT sign-off received from the client; (e) dual authorisation control verified operational with at least two live authorised users. All five conditions must be satisfied before any production payment is initiated through BeBanking.</t>
  </si>
  <si>
    <t>BB-CUT-002</t>
  </si>
  <si>
    <t>Go-live support — APPSolve's BeBanking Solution Consultant available for the first production payment cycle — is included in the onboarding scope. Go-live support covers the first 1–3 business days of production payment processing. Extended hypercare beyond the standard go-live support period is separately defined. [BU-BB-004: pending BU Lead decision on standard BeBanking hypercare duration]</t>
  </si>
  <si>
    <t>BU-BB-004</t>
  </si>
  <si>
    <t>BB-CUT-003</t>
  </si>
  <si>
    <t>Parallel running of the legacy payment process alongside BeBanking is the client's decision. APPSolve supports parallel run planning and provides a parallel run checklist. The operational effort and cost of running legacy and BeBanking payments simultaneously is the client's responsibility. A maximum parallel run period of 4 weeks is assumed; extended parallel running requires explicit BU Lead approval.</t>
  </si>
  <si>
    <t>BB-CUT-004</t>
  </si>
  <si>
    <t>The client's bank must confirm production connectivity approval before BeBanking production payment processing begins. Bank connectivity certification is a bank-controlled process; APPSolve cannot override or accelerate bank certification requirements.</t>
  </si>
  <si>
    <t>BB-CUT-005</t>
  </si>
  <si>
    <t>Go-live cutover includes deactivating the legacy payment export process from the client's ERP and activating BeBanking as the sole payment origination channel for in-scope payment types. The deactivation of the legacy payment process in the ERP is the client's ERP team's responsibility. APPSolve provides a BeBanking cutover checklist and confirms BeBanking readiness.</t>
  </si>
  <si>
    <t>BB-CUT-006</t>
  </si>
  <si>
    <t>Where the client is onboarding multiple payment types (EFT, payroll, and forex) simultaneously, a phased cutover approach — going live with one payment type at a time — is recommended. Simultaneous cutover of all payment types in a single event is higher risk and requires explicit client acceptance documented in the project sign-off.</t>
  </si>
  <si>
    <t>147. Data and Retention</t>
  </si>
  <si>
    <t>BB-DAT-001</t>
  </si>
  <si>
    <t>BeBanking retains payment instruction records, payment results, bank statements, and audit logs for a minimum of 7 years from the transaction date, consistent with South African financial record-keeping requirements under the Companies Act and SARS requirements. Clients requiring retention periods exceeding 7 years must specify this requirement in the commercial schedule.</t>
  </si>
  <si>
    <t>BB-DAT-002</t>
  </si>
  <si>
    <t>Bank statement data received by BeBanking from the client's bank is stored in the BeBanking database and made available for reconciliation, reporting, and audit purposes throughout the retention period. Bank statement data is not archived off the BeBanking platform during the active retention period.</t>
  </si>
  <si>
    <t>BB-DAT-003</t>
  </si>
  <si>
    <t>All client payment data is the client's data. APPSolve does not use client payment data for any purpose other than operating the BeBanking service for that client. Client data is not shared with other clients, used for benchmarking, or disclosed to third parties except where required by law.</t>
  </si>
  <si>
    <t>BB-DAT-004</t>
  </si>
  <si>
    <t>Historical payment data migration — loading prior-period payment transactions into BeBanking from a legacy payment system — is not included in the standard onboarding scope. BeBanking captures transactions from the go-live date forward. Historical data migration, where required, is separately scoped and assessed.</t>
  </si>
  <si>
    <t>BB-DAT-005</t>
  </si>
  <si>
    <t>BeBanking does not maintain a standing beneficiary master database independently of the client's ERP. Beneficiary data is consumed from the client's ERP at the time of payment batch submission. Where a BeBanking-side beneficiary whitelist is required as an additional fraud prevention control, this is a separately scoped configuration item.</t>
  </si>
  <si>
    <t>BB-DAT-006</t>
  </si>
  <si>
    <t>POPIA: BeBanking processes personal information (employee bank account details for payroll disbursement, individual supplier banking details) as an operator acting on behalf of the client, who is the responsible party under POPIA. APPSolve operates BeBanking in accordance with its obligations as a POPIA operator. The client, as responsible party, remains accountable for the lawful basis for processing personal information through BeBanking and for issuing appropriate data subject notices. [BU-BB-009: pending BU Lead decision on standard POPIA operator disclosure language for BeBanking proposals]</t>
  </si>
  <si>
    <t>BU-BB-009</t>
  </si>
  <si>
    <t>BB-DAT-007</t>
  </si>
  <si>
    <t>BeBanking production data for South African clients is hosted in South African data centre regions. Clients with data residency requirements (POPIA, sector-specific regulations, or contractual obligations) must confirm data residency availability with APPSolve during pre-sales. For OCI-hosted BeBanking environments, data residency assumptions are governed by the OCI Pack. For AWS-hosted environments, data residency is confirmed in the relevant SOW.</t>
  </si>
  <si>
    <t>BB-DAT-008</t>
  </si>
  <si>
    <t>BeBanking database backups are performed at a frequency consistent with the RPO targets specified in the client's BeBanking subscription agreement. Backup and recovery procedures are APPSolve's operational responsibility. Clients do not have access to the BeBanking database backup files.</t>
  </si>
  <si>
    <t>149. Environments</t>
  </si>
  <si>
    <t>BB-ENV-001</t>
  </si>
  <si>
    <t>The standard BeBanking environment configuration includes: (a) Production environment; and (b) User Acceptance Testing (UAT) environment. A dedicated Development environment is not provided as standard. Where a dedicated integration development or staging environment is required, this is separately scoped.</t>
  </si>
  <si>
    <t>BB-ENV-002</t>
  </si>
  <si>
    <t>The UAT environment mirrors the Production configuration and is used for integration testing, user acceptance testing, and regression testing of updates. The UAT environment uses bank sandbox or test connectivity where the client's bank provides a sandbox facility. Where the client's bank does not offer a sandbox, testing is conducted using controlled test transactions in a bank-approved test window.</t>
  </si>
  <si>
    <t>BB-ENV-003</t>
  </si>
  <si>
    <t>The UAT environment is available to the client during the onboarding period for acceptance testing and after go-live for regression testing of platform updates. The UAT environment is included in the standard BeBanking subscription. Decommissioning the UAT environment after go-live is strongly discouraged, as it removes APPSolve's ability to test updates before production deployment.</t>
  </si>
  <si>
    <t>BB-ENV-004</t>
  </si>
  <si>
    <t>BeBanking Production environment availability is governed by the uptime SLA in the client's BeBanking subscription agreement. Planned maintenance windows are communicated to clients with a minimum of 48 hours advance notice. Emergency maintenance — security patches and critical fixes — may be applied with shorter notice where required to protect platform or bank connectivity integrity.</t>
  </si>
  <si>
    <t>BB-ENV-005</t>
  </si>
  <si>
    <t>BeBanking platform updates and version upgrades are applied by APPSolve. Clients do not manage BeBanking application software. The standard update process is: (a) APPSolve applies update to UAT; (b) APPSolve conducts internal testing on critical processes; (c) client UAT users complete regression testing and provide written sign-off; (d) APPSolve applies update to Production. No Production update proceeds without written client sign-off from step (c).</t>
  </si>
  <si>
    <t>BB-ENV-006</t>
  </si>
  <si>
    <t>Disaster recovery capability for BeBanking Production environments is included in the BeBanking subscription. Recovery Time Objective (RTO) and Recovery Point Objective (RPO) targets are specified in the client's subscription agreement. APPSolve conducts DR testing on a scheduled basis. Client-initiated DR rehearsals or on-demand DR tests are separately scoped. [BU-BB-010: pending BU Lead decision on standard DR testing frequency and client participation model]</t>
  </si>
  <si>
    <t>BU-BB-010</t>
  </si>
  <si>
    <t>BB-ENV-007</t>
  </si>
  <si>
    <t>The BeBanking application is hosted on Linux. Clients do not have access to the underlying operating system, database server, or application server. System administration of the BeBanking infrastructure is exclusively APPSolve's responsibility.</t>
  </si>
  <si>
    <t>BB-ENV-008</t>
  </si>
  <si>
    <t>BeBanking uses Oracle Database Enterprise Edition as its database engine. Database administration — including patching, backup, performance tuning, and availability management — is APPSolve's responsibility. For OCI-hosted BeBanking deployments, OCI infrastructure assumptions (compute, storage, networking, backup) are governed by the OCI Pack and are not duplicated here. For AWS-hosted BeBanking environments, infrastructure assumptions are confirmed in the relevant SOW.</t>
  </si>
  <si>
    <t>152. Explicit Exclusions</t>
  </si>
  <si>
    <t>BB-EXC-001</t>
  </si>
  <si>
    <t>BeBanking does not include ERP module configuration, ERP AP module setup, ERP bank account master configuration, ERP payment format setup, or ERP GL posting rules. These are ERP implementation scope governed by the applicable ERP Pack.</t>
  </si>
  <si>
    <t>BB-EXC-002</t>
  </si>
  <si>
    <t>BeBanking does not include OIC integration design, OIC adapter configuration, or OIC process orchestration. Where OIC is used as middleware between the client's ERP and BeBanking, OIC components are governed by the OIC Assumption Pack.</t>
  </si>
  <si>
    <t>BB-EXC-003</t>
  </si>
  <si>
    <t>BeBanking does not include OCI infrastructure provisioning, OCI network configuration, OCI security zone setup, or OCI cost management. For OCI-hosted BeBanking deployments, all infrastructure assumptions are governed by the OCI Pack.</t>
  </si>
  <si>
    <t>BB-EXC-004</t>
  </si>
  <si>
    <t>BeBanking does not include payroll calculation, payroll tax processing, PAYE/UIF/SDL administration, IRP5 generation, employee payslip production, or payroll system configuration. These are payroll system functions.</t>
  </si>
  <si>
    <t>BB-EXC-005</t>
  </si>
  <si>
    <t>BeBanking does not include forex hedging, forward cover booking, treasury management, interest rate management, or exchange rate management. These are treasury or forex system functions.</t>
  </si>
  <si>
    <t>BB-EXC-006</t>
  </si>
  <si>
    <t>BeBanking does not include direct debit (debit order) processing, debit mandate management, or collections processing of any kind. BeBanking supports outgoing EFT credit payments only.</t>
  </si>
  <si>
    <t>BB-EXC-007</t>
  </si>
  <si>
    <t>BeBanking does not include integration with card payment systems, point-of-sale (POS) systems, e-commerce payment gateways, or mobile payment platforms.</t>
  </si>
  <si>
    <t>BB-EXC-008</t>
  </si>
  <si>
    <t>BeBanking does not include direct SWIFT membership connectivity. All cross-border payment instructions are routed through the client's bank as the SWIFT member institution. APPSolve does not provide or claim direct SWIFT connectivity.</t>
  </si>
  <si>
    <t>BB-EXC-009</t>
  </si>
  <si>
    <t>BeBanking does not include inward payment processing (receiving third-party payments into the client's bank account). BeBanking processes outgoing payment instructions only. Inward receipt matching and ERP posting are performed in the client's ERP using bank statement data imported via BeBanking.</t>
  </si>
  <si>
    <t>BB-EXC-010</t>
  </si>
  <si>
    <t>Custom software development beyond BeBanking's standard Low-Code/No-Code configuration capability is excluded from the standard BeBanking implementation. BeBanking is a configurable platform with defined extension points. Bespoke platform development requires a separate custom development assessment, SOW, and approval prior to commencement.</t>
  </si>
  <si>
    <t>153. External Dependencies</t>
  </si>
  <si>
    <t>BB-EXT-001</t>
  </si>
  <si>
    <t>BeBanking implementation timelines are dependent on the client's bank completing their onboarding, certification, and connectivity approval processes. Bank delays are outside APPSolve's control and do not constitute an APPSolve delivery failure. The project plan includes explicit bank onboarding milestones with documented ownership of bank dependencies.</t>
  </si>
  <si>
    <t>BB-EXT-002</t>
  </si>
  <si>
    <t>Where the client's ERP is being implemented simultaneously with BeBanking, ERP integration readiness — including the ERP being sufficiently configured to generate and transmit payment files — must be achieved before BeBanking integration testing can begin. ERP implementation timeline delays may directly delay BeBanking go-live and are outside APPSolve's BeBanking delivery control.</t>
  </si>
  <si>
    <t>BB-EXT-003</t>
  </si>
  <si>
    <t>Account Verification Service (AVS) availability and per-transaction pricing are bank-controlled. AVS is not available from all supported banks. Where the client's bank does not offer AVS, BeBanking proceeds without this control and the fact is noted in the project risk register. Per-transaction AVS charges are the client's responsibility and are not included in the BeBanking subscription cost.</t>
  </si>
  <si>
    <t>BB-EXT-004</t>
  </si>
  <si>
    <t>Bank SFTP and API endpoints are maintained by the banks. Bank-side outages, maintenance windows, and endpoint changes are outside APPSolve's control. APPSolve monitors BeBanking's connectivity to bank endpoints and notifies the client of detected connectivity failures. Resolution of bank-side outages is between the client and their bank.</t>
  </si>
  <si>
    <t>BB-EXT-005</t>
  </si>
  <si>
    <t>Where the client uses a third-party managed service provider or outsourced IT team for network, firewall, or endpoint management, BeBanking onboarding may require coordination with that provider for IP whitelisting, firewall rule updates, and SFTP connectivity. Delays attributable to third-party IT providers are outside APPSolve's control.</t>
  </si>
  <si>
    <t>BB-EXT-006</t>
  </si>
  <si>
    <t>South African regulatory compliance requirements applicable to the client's payment activities — including SARB exchange control requirements, National Credit Act obligations, Financial Intelligence Centre Act (FICA) requirements, and SARS reporting — are the client's legal responsibility. APPSolve provides BeBanking as a payment processing platform and does not provide regulatory compliance advice.</t>
  </si>
  <si>
    <t>BB-EXT-007</t>
  </si>
  <si>
    <t>Where the client is subject to an external audit — annual financial audit, internal audit, or SARS audit — that requires access to BeBanking payment records, APPSolve provides standard data export capability and assists with reasonable auditor enquiries within normal business hours. Dedicated audit preparation, auditor interview support, or preparation of complex audit schedules is separately scoped.</t>
  </si>
  <si>
    <t>BB-EXT-008</t>
  </si>
  <si>
    <t>New bank connectivity requirements arising after go-live — whether from the client acquiring a new banking relationship, expanding to a new country, or changing their primary bank — are treated as new bank onboarding engagements. They are separately scoped, assessed, and priced. The bank onboarding process (BB-BNK-003) applies in full.</t>
  </si>
  <si>
    <t>144. Forex Payments</t>
  </si>
  <si>
    <t>BB-FX-001</t>
  </si>
  <si>
    <t>BeBanking supports foreign exchange payment initiation for international supplier payments and cross-border disbursements. BeBanking transmits foreign currency payment instructions to the client's bank; the bank executes the forex transaction at the agreed exchange rate. BeBanking is not a forex trading platform and does not hold, manage, or price foreign currency positions.</t>
  </si>
  <si>
    <t>BB-FX-002</t>
  </si>
  <si>
    <t>BeBanking currently supports forex payment processing through Citi Bank UK and Santander Bank Chile. Forex payment processing through other banking partners requires a new forex bank onboarding assessment and is separately scoped. [BU-BB-003: pending BU Lead decision on forex inclusion in base BeBanking subscription]</t>
  </si>
  <si>
    <t>BU-BB-003</t>
  </si>
  <si>
    <t>BB-FX-003</t>
  </si>
  <si>
    <t>The client is responsible for maintaining a SARB-compliant forex mandate with their bank, including the approved foreign currency list, approved country list, and applicable forex allowances. BeBanking facilitates the transmission of forex payment instructions only. Compliance with SARB exchange control regulations is the client's legal and regulatory responsibility.</t>
  </si>
  <si>
    <t>BB-FX-004</t>
  </si>
  <si>
    <t>BeBanking supports foreign currency payment instructions in the currencies enabled by the client's bank forex agreement. Currency additions after go-live are confirmed with the client's bank and may trigger a BeBanking configuration Change Request.</t>
  </si>
  <si>
    <t>BB-FX-005</t>
  </si>
  <si>
    <t>Foreign exchange rates are determined by the client's bank at the time of transaction execution. BeBanking does not calculate, display, fix, or negotiate exchange rates. Where the client requires rate confirmation or forward cover booking before payment execution, these arrangements are made between the client and their bank outside BeBanking.</t>
  </si>
  <si>
    <t>BB-FX-006</t>
  </si>
  <si>
    <t>Supporting documentation required by SARB for forex payments — invoices, contracts, shipping documents, Balance of Payments (BoP) category declarations — is the client's responsibility to obtain and submit. BeBanking does not validate forex supporting documentation. SARB documentation is submitted by the client through the bank's forex documentation channel.</t>
  </si>
  <si>
    <t>BB-FX-007</t>
  </si>
  <si>
    <t>Forex payment reconciliation returns the same acknowledgement data as domestic EFT payments. Additional forex-specific fields (exchange rate applied, settlement date, SARB reference number) are returned where provided by the client's bank; availability of these fields is bank-dependent and not guaranteed across all forex banking partners.</t>
  </si>
  <si>
    <t>BB-FX-008</t>
  </si>
  <si>
    <t>Inward forex remittance — receiving international payments into the client's bank account — is not a BeBanking function. BeBanking processes outward payment instructions only. Inward payment processing, bank statement import, and ERP reconciliation of received funds are governed by bank statement import functionality (BB-INT-008) and the applicable ERP Pack.</t>
  </si>
  <si>
    <t>140. General Engagement</t>
  </si>
  <si>
    <t>BB-GEN-001</t>
  </si>
  <si>
    <t>BeBanking is APPSolve's proprietary Host-to-Host banking integration platform. All BeBanking implementations are delivered exclusively by APPSolve as both the platform vendor and the implementation partner.</t>
  </si>
  <si>
    <t>BB-GEN-002</t>
  </si>
  <si>
    <t>BeBanking onboarding is scoped per client engagement. The BB Base Assumptions define the standard boundaries for a single-entity, single-country BeBanking implementation. Multi-entity or multi-country implementations are separately scoped and priced.</t>
  </si>
  <si>
    <t>BB-GEN-003</t>
  </si>
  <si>
    <t>BeBanking is delivered as a managed application hosted and operated by APPSolve. Clients do not receive source code, platform binaries, database access, or direct access to the BeBanking application infrastructure.</t>
  </si>
  <si>
    <t>BB-GEN-004</t>
  </si>
  <si>
    <t>BeBanking is a payment processing and banking integration platform. It is not an ERP system and does not replace the client's ERP, accounting system, or payroll system of record. All payment instructions originate from the client's ERP and all results are returned to it.</t>
  </si>
  <si>
    <t>BB-GEN-005</t>
  </si>
  <si>
    <t>All BeBanking implementations include an onboarding project phase covering: platform configuration, bank connectivity setup, ERP integration, user access configuration, and go-live readiness testing. The minimum standard onboarding period is 6 weeks from project kick-off to go-live readiness. Complex implementations involving multiple banks, multiple payment types, or multiple ERP sources may require 12–20 weeks.</t>
  </si>
  <si>
    <t>BB-GEN-006</t>
  </si>
  <si>
    <t>APPSolve assigns a BeBanking Solution Consultant as the primary APPSolve delivery contact for all onboarding engagements. Where a dedicated Project Manager is required, this is explicitly stated in the Statement of Work. Where a dedicated APPSolve PM is not in scope, the client's Project Manager coordinates overall delivery and APPSolve's Solution Consultant manages BeBanking-side activities.</t>
  </si>
  <si>
    <t>BB-GEN-007</t>
  </si>
  <si>
    <t>BeBanking onboarding is executed in sequential phases: (a) Discovery and scoping; (b) Platform configuration; (c) Bank connectivity and format testing; (d) ERP integration testing; (e) User acceptance testing; (f) Go-live cutover. Each phase requires written client sign-off before the subsequent phase commences.</t>
  </si>
  <si>
    <t>BB-GEN-008</t>
  </si>
  <si>
    <t>BeBanking licensing is subscription-based. The subscription tier, supported bank list, included payment types, and transaction volume limits applicable to the client are confirmed in the commercial schedule before onboarding commences. Transaction volumes or payment types that exceed the subscribed tier require a subscription amendment. [BU-BB-003: pending BU Lead decision on forex inclusion in base subscription tier]</t>
  </si>
  <si>
    <t>145. Integrations</t>
  </si>
  <si>
    <t>BB-INT-001</t>
  </si>
  <si>
    <t>BeBanking integrates with the client's ERP or financial system to receive payment instructions and return payment results. The ERP integration is a mandatory component of every BeBanking implementation. Integration scope — ERP platform, integration method, data objects, and transaction volumes — is confirmed during the onboarding discovery phase and documented in an integration design document.</t>
  </si>
  <si>
    <t>BB-INT-002</t>
  </si>
  <si>
    <t>BeBanking supports integration with Oracle EBS, Oracle Fusion Applications, and Acumatica ERP. BeBanking also integrates with SAP environments; the integration method and scope for SAP are confirmed during pre-sales. ERP-side integration assumptions are governed by the applicable ERP Pack (Oracle ERP Pack for Oracle ERP or Acumatica Pack for Acumatica). BB-INT assumptions govern BeBanking-side configuration only.</t>
  </si>
  <si>
    <t>BB-INT-003</t>
  </si>
  <si>
    <t>BeBanking supports API-based integration (REST), SFTP-based file exchange, and structured bank file exchange mechanisms. The preferred integration method for each client and ERP combination is determined during the onboarding discovery phase. Where multiple methods are technically available, APPSolve recommends the most reliable and maintainable approach.</t>
  </si>
  <si>
    <t>BB-INT-004</t>
  </si>
  <si>
    <t>ERP-side integration configuration — AP payment format setup, bank account configuration in the ERP, payment batch extract processes, and ERP-side bank statement import processing — is the responsibility of the ERP implementation team or the client's ERP support team. BeBanking-side configuration is APPSolve's responsibility. The demarcation between ERP-side and BeBanking-side responsibilities is agreed in the integration design document.</t>
  </si>
  <si>
    <t>BB-INT-005</t>
  </si>
  <si>
    <t>Where Oracle Integration Cloud (OIC) is used as middleware between the client's ERP and BeBanking, the OIC integration components — adapters, process flows, connection definitions — are governed by the OIC Assumption Pack. BB-INT assumptions govern BeBanking-side configuration only. The use of OIC as middleware is confirmed at pre-sales in the Statement of Work.</t>
  </si>
  <si>
    <t>BB-INT-006</t>
  </si>
  <si>
    <t>The standard BeBanking implementation integrates with a single ERP instance as the payment instruction source. Multi-ERP or multi-instance integrations (different ERP platforms or separate ERP instances feeding a single BeBanking environment) are separately scoped.</t>
  </si>
  <si>
    <t>BB-INT-007</t>
  </si>
  <si>
    <t>Integration testing covers: (a) payment file format validation; (b) payment instruction transmission and acknowledgement; (c) payment result return to ERP; (d) bank statement import and format validation; (e) reconciliation data matching. Integration testing is conducted in the BeBanking UAT environment before production go-live and requires active participation from the client's ERP team.</t>
  </si>
  <si>
    <t>BB-INT-008</t>
  </si>
  <si>
    <t>Bank statement import — receiving electronic bank statements from the client's bank, processing them within BeBanking, and returning the statement data to the client's ERP for bank reconciliation — is included in the standard implementation for the banks in scope. ERP-side bank statement processing (upload, automatic matching, posting, and clearing) is the ERP team's responsibility and governed by the applicable ERP Pack.</t>
  </si>
  <si>
    <t>BB-INT-009</t>
  </si>
  <si>
    <t>SFTP-based integration requires a secure SFTP server. APPSolve provides the BeBanking SFTP endpoint. The client's ERP team is responsible for configuring the ERP SFTP client and the outbound payment extract process. SFTP firewall rules and IP whitelisting are the client's network team's responsibility.</t>
  </si>
  <si>
    <t>BB-INT-010</t>
  </si>
  <si>
    <t>API-based integration requires the client's ERP to call BeBanking's published REST API endpoints. APPSolve provides API specifications during onboarding. Changes to BeBanking API versions that affect client integrations are communicated to affected clients with a minimum of 60 days advance notice before the prior version is deprecated.</t>
  </si>
  <si>
    <t>BB-INT-011</t>
  </si>
  <si>
    <t>Third-party system integrations — non-ERP systems such as treasury management platforms, procurement portals, expense management tools, or standalone accounts payable solutions — requiring connectivity to BeBanking are separately scoped and assessed at pre-sales.</t>
  </si>
  <si>
    <t>BB-INT-012</t>
  </si>
  <si>
    <t>BeBanking does not consume real-time market data, currency rate APIs, or bank rate feeds from external data providers. All market-rate information is sourced from the client's bank as part of the forex transaction execution process.</t>
  </si>
  <si>
    <t>142. Payments</t>
  </si>
  <si>
    <t>BB-PAY-001</t>
  </si>
  <si>
    <t>BeBanking supports Electronic Funds Transfer (EFT) credit payments, including supplier payments, intercompany payments, and miscellaneous creditor payments. EFT debit (debit order) processing is not included in the standard BeBanking scope.</t>
  </si>
  <si>
    <t>BB-PAY-002</t>
  </si>
  <si>
    <t>Payment batches are initiated by the client's ERP or financial system and transmitted to BeBanking for bank submission. BeBanking does not originate payment instructions independently of the client's ERP. All payment authority rests with the client's ERP data and the client's authorised approvers in BeBanking.</t>
  </si>
  <si>
    <t>BB-PAY-003</t>
  </si>
  <si>
    <t>BeBanking supports a configurable payment authorisation workflow. The standard implementation includes a two-level maker-checker model: a Payment Creator initiates the batch and a Payment Authoriser approves it before submission to the bank. Additional authorisation levels, value-based approval tiers, or workflow branching beyond the standard two-level model are a separately scoped configuration item.</t>
  </si>
  <si>
    <t>BB-PAY-004</t>
  </si>
  <si>
    <t>BeBanking performs Account Verification Service (AVS) checks before submitting EFT payments to the bank where the client's bank supports this service. AVS confirms that the beneficiary account number, branch code, and account type are valid before payment submission. Per-transaction AVS charges levied by the bank are the client's responsibility. Where the client's bank does not offer AVS, this step is omitted.</t>
  </si>
  <si>
    <t>BB-PAY-005</t>
  </si>
  <si>
    <t>BeBanking returns bank acknowledgement and payment result status to the originating ERP. The format and timing of bank acknowledgements are bank-defined. BeBanking transmits acknowledgements as received from the bank. APPSolve is not responsible for bank processing delays, bank system outages, or bank rejection reasons outside BeBanking's control.</t>
  </si>
  <si>
    <t>BB-PAY-006</t>
  </si>
  <si>
    <t>Standard remittance advice generation and distribution is included in the BeBanking implementation. Standard remittance advice is delivered to beneficiaries via email using the beneficiary email address held in the client's ERP. Custom remittance advice formats, branded templates, delivery via SMS, or delivery through a self-service portal are separately scoped.</t>
  </si>
  <si>
    <t>BB-PAY-007</t>
  </si>
  <si>
    <t>Beneficiary master data — supplier bank account numbers, payment references, and remittance email addresses — is owned and maintained by the client in their ERP. BeBanking consumes beneficiary data from the ERP at the time of payment batch processing. APPSolve does not maintain a separate beneficiary master in BeBanking.</t>
  </si>
  <si>
    <t>BB-PAY-008</t>
  </si>
  <si>
    <t>Duplicate payment detection is a standard BeBanking control. BeBanking flags potential duplicate payments (same beneficiary, same amount, same payment reference within a configurable detection window) before bank submission. The duplicate detection parameters are agreed and configured during onboarding. Changes to detection parameters post-go-live are a Change Request.</t>
  </si>
  <si>
    <t>BB-PAY-009</t>
  </si>
  <si>
    <t>Real-time gross settlement (RTGS) and same-day EFT are supported where the client's bank offers these services and the client holds the required bank agreements. RTGS and same-day EFT carry higher transaction fees levied by the bank. These fees are the client's responsibility and are not included in BeBanking's subscription cost.</t>
  </si>
  <si>
    <t>BB-PAY-010</t>
  </si>
  <si>
    <t>BeBanking maintains payment instruction records for audit and dispute resolution purposes. Approved payment instructions cannot be reversed or recalled through BeBanking after the payment file has been submitted to and accepted by the bank. Payment recalls and reversals must be initiated directly with the bank by the client.</t>
  </si>
  <si>
    <t>BB-PAY-011</t>
  </si>
  <si>
    <t>Intercompany EFT payments between entities using the same BeBanking implementation are supported within the standard scope. Cross-instance intercompany payments (where each entity operates a separate BeBanking instance) require a separately scoped integration design.</t>
  </si>
  <si>
    <t>BB-PAY-012</t>
  </si>
  <si>
    <t>Scheduled payment runs (configuring BeBanking to submit payment batches at specified times) are a standard BeBanking capability. Payment run schedules are agreed and configured during onboarding. Modifications to payment run schedules post-go-live are managed under the support arrangement.</t>
  </si>
  <si>
    <t>143. Payroll Payments</t>
  </si>
  <si>
    <t>BB-PYR-001</t>
  </si>
  <si>
    <t>BeBanking supports payroll payment disbursement via EFT. Payroll payment instructions are generated by the client's payroll system and transmitted to BeBanking for bank submission. BeBanking does not perform payroll calculations, statutory deduction processing, payslip generation, or IRP5 production.</t>
  </si>
  <si>
    <t>BB-PYR-002</t>
  </si>
  <si>
    <t>BeBanking Payroll H2H currently supports payroll payment files originating from Oracle EBS Payroll and Oracle Fusion Payroll. These are APPSolve's primary supported payroll source platforms. Payroll files originating from non-Oracle payroll systems require a separate payroll integration assessment at pre-sales. Non-Oracle payroll source integration is not covered by BB-PYR assumptions without explicit SOW inclusion. [BU-BB-008: pending BU Lead decision on BeBanking's standard payroll source support policy]</t>
  </si>
  <si>
    <t>BU-BB-008</t>
  </si>
  <si>
    <t>BB-PYR-003</t>
  </si>
  <si>
    <t>Employee bank account data used for payroll disbursement is owned and maintained by the client's HR or payroll system. BeBanking consumes employee payment data as provided in the payroll payment file. APPSolve does not validate, maintain, or independently verify employee bank account details within BeBanking.</t>
  </si>
  <si>
    <t>BB-PYR-004</t>
  </si>
  <si>
    <t>Payroll payment confidentiality controls are enforced within BeBanking. Payroll payment batches are restricted to authorised payroll users. Payroll transactions are segregated from creditor payment transactions and are not visible to standard AP payment users.</t>
  </si>
  <si>
    <t>BB-PYR-005</t>
  </si>
  <si>
    <t>BeBanking supports split payroll disbursements (payment to multiple bank accounts per employee per payroll run) where the originating payroll system's payment file includes the individual split payment instructions.</t>
  </si>
  <si>
    <t>BB-PYR-006</t>
  </si>
  <si>
    <t>Third-party payroll deduction disbursements — such as garnishee orders, union deductions, and medical aid contributions — are included in the payroll payment scope where these instructions are embedded in the originating payroll payment file and the beneficiaries are configured in BeBanking as payroll beneficiaries.</t>
  </si>
  <si>
    <t>BB-PYR-007</t>
  </si>
  <si>
    <t>Payroll payment cutoff times and same-day processing eligibility are governed by the client's bank's payroll batch acceptance windows. APPSolve configures BeBanking to submit payroll files within the bank's required processing window. The client is responsible for completing payroll runs and initiating the BeBanking submission in sufficient time for the bank to process within the required value date.</t>
  </si>
  <si>
    <t>BB-PYR-008</t>
  </si>
  <si>
    <t>Payroll payment reversals and recalls follow the same bank-driven process as EFT payment reversals (BB-PAY-010). BeBanking cannot reverse or recall a payroll payment after it has been accepted by the bank. The client must liaise directly with their bank to initiate any payment recall.</t>
  </si>
  <si>
    <t>BB-PYR-009</t>
  </si>
  <si>
    <t>Payroll payment result reconciliation — confirming accepted, rejected, and returned employee payments — is returned to the client's payroll or ERP system via BeBanking's acknowledgement mechanism. The reconciliation file format is defined by the integration design agreed during onboarding.</t>
  </si>
  <si>
    <t>BB-PYR-010</t>
  </si>
  <si>
    <t>Where the client operates multiple payroll runs within a single period (for example, weekly casual staff and monthly permanent staff, or multiple legal entities with separate payroll runs), each payroll run configuration and schedule is defined and separately confirmed during onboarding.</t>
  </si>
  <si>
    <t>148. Reporting</t>
  </si>
  <si>
    <t>BB-RPT-001</t>
  </si>
  <si>
    <t>The standard BeBanking reporting pack includes: (a) Payment Batch Status Report — open, pending, submitted, and completed batches; (b) Payment Results Report — accepted, rejected, and returned payments per batch; (c) Bank Statement Summary Report — statement lines received per bank account per period; (d) Payment Audit Trail Report — full history of all actions taken on each payment batch; (e) Exception Report — rejected payments, failed submissions, and duplicate payment flags. All standard reports are available within the BeBanking application and exportable in PDF and CSV format. [BU-BB-005: pending BU Lead decision on whether the standard reporting pack is confirmed as listed or requires expansion]</t>
  </si>
  <si>
    <t>BU-BB-005</t>
  </si>
  <si>
    <t>BB-RPT-002</t>
  </si>
  <si>
    <t>Custom reports, scheduled report distribution, management dashboards, or analytics integrations (Power BI, Tableau, or similar BI tools) are not included in the standard BeBanking implementation. Custom reporting capability is separately scoped.</t>
  </si>
  <si>
    <t>BB-RPT-003</t>
  </si>
  <si>
    <t>BeBanking does not produce general ledger reconciliation reports. GL reconciliation of bank statement entries against ERP transactions is performed in the client's ERP using bank statement data imported via BeBanking. The ERP-side reconciliation process is governed by the applicable ERP Pack.</t>
  </si>
  <si>
    <t>BB-RPT-004</t>
  </si>
  <si>
    <t>Payment exception reporting — rejected payments, returned payments, and failed bank submissions — is available in real-time within the BeBanking application. Email notification of exceptions is configurable during onboarding and is included in the standard implementation.</t>
  </si>
  <si>
    <t>BB-RPT-005</t>
  </si>
  <si>
    <t>Regulatory reporting — SARB exchange control filings, SARS EFT payment disclosures, NPA reporting, or any other statutory payment reporting — is the client's legal and regulatory responsibility. BeBanking provides the underlying payment data; APPSolve does not prepare, validate, or submit regulatory filings on behalf of the client.</t>
  </si>
  <si>
    <t>BB-RPT-006</t>
  </si>
  <si>
    <t>Standard report formats and layouts are delivered as part of onboarding and are confirmed during the discovery phase. Modifications to standard report formats or the addition of new standard reports after go-live are Change Requests.</t>
  </si>
  <si>
    <t>146. Security and Access Control</t>
  </si>
  <si>
    <t>BB-SEC-001</t>
  </si>
  <si>
    <t>BeBanking implements role-based access control. Standard roles are: Payment Creator (creates and submits payment batches for approval), Payment Authoriser (approves payment batches for bank submission), Bank Administrator (manages bank account configurations and beneficiary lists), and System Administrator (manages users and system configuration). Additional roles or role modifications beyond the standard set are a configuration Change Request.</t>
  </si>
  <si>
    <t>BB-SEC-002</t>
  </si>
  <si>
    <t>User provisioning and deprovisioning is the client's operational responsibility. The client's designated BeBanking System Administrator manages the addition, modification, and removal of user accounts. APPSolve configures the initial user accounts during onboarding. Ongoing user management is a client function and is not a BeBanking support activity.</t>
  </si>
  <si>
    <t>BB-SEC-003</t>
  </si>
  <si>
    <t>BeBanking enforces dual authorisation (maker-checker) for all payment batches as a non-negotiable platform control. A user who creates a payment batch cannot also approve it for bank submission. This segregation of duties control cannot be disabled or bypassed.</t>
  </si>
  <si>
    <t>BB-SEC-004</t>
  </si>
  <si>
    <t>BeBanking supports IP address restriction and multi-factor authentication (MFA) for user access. The MFA mechanism (email OTP, TOTP authenticator app, or equivalent) is confirmed during onboarding. IP restriction rules are configured per client environment where required by the client's security policy.</t>
  </si>
  <si>
    <t>BB-SEC-005</t>
  </si>
  <si>
    <t>All data transmitted between BeBanking and the client's bank is encrypted in transit using TLS 1.2 or higher. Data at rest within the BeBanking application is encrypted using AES-256 or an equivalent standard. The specific encryption standards in use are documented in the BeBanking Security Architecture document provided at onboarding.</t>
  </si>
  <si>
    <t>BB-SEC-006</t>
  </si>
  <si>
    <t>BeBanking conducts periodic platform-level security reviews. Where a client requires a dedicated security assessment, penetration test, or audit of the BeBanking platform, this is separately scoped and may require coordination between APPSolve, the client's security team, and the client's bank.</t>
  </si>
  <si>
    <t>BB-SEC-007</t>
  </si>
  <si>
    <t>BeBanking access logs and full payment audit trails are retained within the platform for the retention period specified in BB-DAT-001. Clients may export audit logs during the retention period via the standard BeBanking reporting capability. Integration of BeBanking audit logs with the client's SIEM, SOAR, or centralised log management platform is separately scoped.</t>
  </si>
  <si>
    <t>BB-SEC-008</t>
  </si>
  <si>
    <t>The client is responsible for the security of their own network, end-user devices, and credentials used to access BeBanking. APPSolve is not responsible for security incidents arising from compromised client credentials, client-side malware, client network vulnerabilities, or social engineering attacks targeting the client's BeBanking users.</t>
  </si>
  <si>
    <t>151. Support and Managed Services</t>
  </si>
  <si>
    <t>BB-SUP-001</t>
  </si>
  <si>
    <t>Post-go-live BeBanking support is provided under a BeBanking Support arrangement included in or accompanying the client's BeBanking subscription. Support scope, SLA tiers, and included services are defined in the applicable BeBanking support schedule. Where no formal BeBanking support arrangement is in place at go-live, APPSolve provides reactive platform-level break/fix support only. [BU-BB-006: pending BU Lead decision on the standard BeBanking post-go-live support model]</t>
  </si>
  <si>
    <t>Critical</t>
  </si>
  <si>
    <t>BU-BB-006</t>
  </si>
  <si>
    <t>BB-SUP-002</t>
  </si>
  <si>
    <t>BeBanking support covers the BeBanking application layer and BeBanking-side bank connectivity. Bank-side issues — bank SFTP or API outages, bank format changes initiated by the bank, bank processing delays, and bank payment rejections — are the client's responsibility to resolve directly with their bank. APPSolve assists with diagnosis and escalation within its capability but cannot compel banks to resolve issues on a specific timeline.</t>
  </si>
  <si>
    <t>BB-SUP-003</t>
  </si>
  <si>
    <t>ERP-side issues — payment batch generation failures, ERP integration errors, and AP module configuration faults — are governed by the applicable ERP AMS arrangement, not the BeBanking support arrangement. Where ERP-BeBanking boundary disputes arise, APPSolve's BeBanking and ERP support teams collaborate to identify the root cause, and the responsible team resolves their component.</t>
  </si>
  <si>
    <t>BB-SUP-004</t>
  </si>
  <si>
    <t>Standard BeBanking support hours are 08:00–17:00 SAST, Monday to Friday, excluding South African public holidays. P1 incidents (BeBanking Production environment down; no payment processing possible) receive out-of-hours response under the standard support arrangement. 24×7 support across all priority levels requires a premium support tier. SLA response targets follow the APPSolve-wide framework: P1 = 1 hour; P2 = 4 hours; P3 = 1 business day; P4 = 3 business days.</t>
  </si>
  <si>
    <t>BB-SUP-005</t>
  </si>
  <si>
    <t>Routine user management — adding, modifying, and removing BeBanking user accounts — is performed by the client's BeBanking System Administrator and is not a BeBanking support ticket. Where the client's System Administrator role is vacant or the administrator is locked out of the system, APPSolve provides emergency access restoration under the support arrangement.</t>
  </si>
  <si>
    <t>BB-SUP-006</t>
  </si>
  <si>
    <t>BeBanking configuration changes post-go-live — adding new banks, modifying payment approval workflows, adding new payment types, adding new ERP integration points — are Change Requests. CR assessment, scoping, and approval follow the Commercial Framework CR process. CR work is billed at the applicable rate.</t>
  </si>
  <si>
    <t>BB-SUP-007</t>
  </si>
  <si>
    <t>Bank-initiated format changes — where a bank unilaterally updates their payment file specification — are addressed by APPSolve as a support activity where the change is a like-for-like format update (field rename, field position change, or encoding adjustment). Structural bank format changes requiring significant BeBanking reconfiguration, new payment file types, or new connectivity setup are assessed as Change Requests.</t>
  </si>
  <si>
    <t>BB-SUP-008</t>
  </si>
  <si>
    <t>BeBanking platform updates — minor releases, patches, and security fixes — are applied by APPSolve under the BeBanking subscription without additional cost. Major version upgrades or significant new feature releases may require client acceptance testing in UAT before production deployment. The update process follows BB-ENV-005.</t>
  </si>
  <si>
    <t>AMS</t>
  </si>
  <si>
    <t>87. Support Channels</t>
  </si>
  <si>
    <t>AMS-CHN-001</t>
  </si>
  <si>
    <t>All AMS support requests must be logged via APPSolve's designated support channel — either the APPSolve support portal, a designated support email address, or the agreed ticketing mechanism specified in the AMS agreement. Requests made directly to individual consultants via WhatsApp, personal email, or phone are acknowledged but must be formally logged to be covered under the AMS agreement.</t>
  </si>
  <si>
    <t>AMS-CHN-002</t>
  </si>
  <si>
    <t>Telephone support is available for P1 (Critical) incidents only — the client may call the APPSolve AMS hotline to report a P1 after logging the ticket. For P2, P3, and P4 requests, ticket-first is the required process; telephone follow-up is at APPSolve's discretion.</t>
  </si>
  <si>
    <t>AMS-CHN-003</t>
  </si>
  <si>
    <t>A designated AMS contact at APPSolve (the AMS Account Manager or AMS Team Lead) is the client's primary escalation point for service delivery concerns, SLA disputes, and change request approvals. The AMS contact is named in the AMS agreement. Changes to the AMS contact are communicated to the client in writing.</t>
  </si>
  <si>
    <t>AMS-CHN-004</t>
  </si>
  <si>
    <t>The client designates a primary AMS contact (typically the internal IT or ERP team lead) who is authorised to log support requests, approve change requests, and receive monthly reports. APPSolve only takes direction from the designated client AMS contact. Requests from other client employees may be acknowledged but require authorisation from the designated contact before work commences.</t>
  </si>
  <si>
    <t>91. Change Requests</t>
  </si>
  <si>
    <t>AMS-CR-001</t>
  </si>
  <si>
    <t>A change request (CR) is a formally scoped and approved work item that constitutes new or changed scope beyond the standard service request catalogue. The standard CR threshold is 2 hours: changes estimated at more than 2 hours of effort require a formal written CR, an effort estimate, and written client approval before work commences. APPSolve may, at its discretion, absorb changes estimated below 2 hours into the monthly support hours without raising a formal CR. No entitlement to this discretionary treatment is created by previous practice — each case is assessed independently. The CR threshold defined in a specific AMS agreement takes precedence over this standard.</t>
  </si>
  <si>
    <t>AMS-CR-002</t>
  </si>
  <si>
    <t>The change request process: (1) Client submits change request description via the support channel; (2) APPSolve assesses and produces a written effort estimate within five (5) business days; (3) Client approves the estimate in writing; (4) APPSolve schedules and delivers the change; (5) Client signs off delivery. No change request work commences without written client approval of the estimate.</t>
  </si>
  <si>
    <t>AMS-CR-003</t>
  </si>
  <si>
    <t>Change requests are not subject to the incident SLA. CR delivery timelines are agreed at the time of CR approval based on complexity, resource availability, and the client's priority. APPSolve provides a delivery date at the time of CR approval.</t>
  </si>
  <si>
    <t>AMS-CR-004</t>
  </si>
  <si>
    <t>Change requests that introduce risk to the live production system (for example, security role changes affecting multiple users, workflow restructuring, GL period-end configuration changes) are assessed by APPSolve for risk before implementation and require a testing confirmation from the client before production deployment.</t>
  </si>
  <si>
    <t>99. Customer Responsibilities</t>
  </si>
  <si>
    <t>AMS-CUS-001</t>
  </si>
  <si>
    <t>**Business Process Ownership:** The client owns its business processes. AMS covers the application layer; the client's functional leads are responsible for deciding whether a business process change is needed, documenting the requirement, and approving the solution before APPSolve implements it. APPSolve does not redesign business processes under AMS.</t>
  </si>
  <si>
    <t>AMS-CUS-002</t>
  </si>
  <si>
    <t>**User Support (Level 1):** The client's internal helpdesk or ERP team provides first-line support to end users — answering how-to questions, resetting passwords, explaining existing functionality, and triaging whether an issue is a user error or a system issue. This Level 1 responsibility belongs to the client unless explicitly contracted to APPSolve.</t>
  </si>
  <si>
    <t>AMS-CUS-003</t>
  </si>
  <si>
    <t>**User Access Management:** Creating new user accounts, assigning Oracle ERP or Oracle HCM roles to users, and deactivating users who leave are the client's IT team's responsibility, unless APPSolve has been contracted to provide user access management as part of the AMS agreement.</t>
  </si>
  <si>
    <t>AMS-CUS-004</t>
  </si>
  <si>
    <t>**Internal Change Management:** Communicating system changes to the client's user population, updating internal user guides and job aids, and managing internal business change resulting from configuration updates are the client's responsibility.</t>
  </si>
  <si>
    <t>AMS-CUS-005</t>
  </si>
  <si>
    <t>**Change Request Approval:** All change requests must be approved in writing by the client's designated AMS contact (or a named delegate) before APPSolve commences work. Verbal approval is not sufficient. APPSolve does not proceed with a CR without written approval.</t>
  </si>
  <si>
    <t>AMS-CUS-006</t>
  </si>
  <si>
    <t>**Test Sign-Off:** Where a change request, service request, or incident resolution requires testing before production deployment, the client's functional team performs and signs off the test. APPSolve deploys to production only after written client sign-off on the test outcome.</t>
  </si>
  <si>
    <t>AMS-CUS-007</t>
  </si>
  <si>
    <t>**Information Provision:** The client provides accurate and complete information when logging support tickets — including error messages, screenshots, steps to reproduce, affected users, and business impact. Incomplete ticket information delays investigation. APPSolve is not responsible for SLA delays caused by insufficient information provided by the client.</t>
  </si>
  <si>
    <t>AMS-CUS-008</t>
  </si>
  <si>
    <t>**Internal IT Responsibilities:** Network connectivity, hardware, browser compatibility, VPN access, printer configuration, and other IT infrastructure are the client's IT team's responsibility. APPSolve provides application support only; infrastructure support is not in AMS scope.</t>
  </si>
  <si>
    <t>AMS-CUS-009</t>
  </si>
  <si>
    <t>**Oracle Support Access:** The client provides APPSolve with access to the client's Oracle Support account (Customer Support Identifier — CSI) to log Oracle SRs on the client's behalf. Without CSI access, APPSolve cannot manage Oracle SRs directly and the client must log SRs themselves. APPSolve can provide the SR description and evidence for the client to log.</t>
  </si>
  <si>
    <t>AMS-CUS-010</t>
  </si>
  <si>
    <t>**AMS Onboarding Documentation:** At the start of an AMS engagement, the client provides APPSolve with access to: the implementation project documentation (Scope and Design documents, configuration workbooks, test sign-off records); current system access credentials for the AMS team; and an introduction to the client's internal ERP/IT team contacts. Where implementation was done by APPSolve, this documentation already exists.</t>
  </si>
  <si>
    <t>92. Defect Management</t>
  </si>
  <si>
    <t>AMS-DEF-001</t>
  </si>
  <si>
    <t>A defect is a system behaviour that does not conform to the agreed configuration design documented during implementation. Defects in the configured system discovered post-go-live are covered under AMS incident management and are resolved within the monthly hours allocation (or as a priority incident depending on severity) at no additional charge.</t>
  </si>
  <si>
    <t>AMS-DEF-002</t>
  </si>
  <si>
    <t>Defect vs enhancement vs configuration drift: APPSolve distinguishes between three types of post-go-live issues: - **Defect:** System does not behave per the agreed design — APPSolve resolves, no additional charge - **Enhancement:** Client requests new functionality not in the original design — separately priced project work - **Configuration drift:** Client or another party has changed the configuration since go-live, causing unexpected behaviour — APPSolve investigates; resolution effort may be billed as a service request</t>
  </si>
  <si>
    <t>AMS-DEF-003</t>
  </si>
  <si>
    <t>Defects introduced by Oracle's quarterly platform updates are managed as follows: APPSolve monitors Oracle's quarterly release notes for the client's supported applications; where a release update introduces a defect in the client's configuration, APPSolve resolves the defect within the standard SLA; the root cause (Oracle release) is documented in the monthly report.</t>
  </si>
  <si>
    <t>AMS-DEF-004</t>
  </si>
  <si>
    <t>Configuration changes made by the client's internal team without APPSolve involvement may invalidate existing configuration and cause system issues. APPSolve is not responsible for defects caused by client-initiated configuration changes. Restoring the system from a client-caused configuration error is treated as a service request and billed against the monthly allocation.</t>
  </si>
  <si>
    <t>90. Enhancements</t>
  </si>
  <si>
    <t>AMS-ENH-001</t>
  </si>
  <si>
    <t>Enhancements — adding new functionality, new configuration, new modules, new integrations, or new reports beyond the contracted application scope — are excluded from AMS. Enhancements are delivered as project work under a separate project SOW.</t>
  </si>
  <si>
    <t>AMS-ENH-002</t>
  </si>
  <si>
    <t>Where the client requests an enhancement during an AMS support interaction, APPSolve identifies it as an enhancement, logs it, and advises the client that it requires a separate project engagement. APPSolve does not absorb enhancement work into the AMS hours without explicit commercial agreement.</t>
  </si>
  <si>
    <t>AMS-ENH-003</t>
  </si>
  <si>
    <t>Enhancement identification: APPSolve's obligation is to tell the client when a request crosses the enhancement boundary. APPSolve is not responsible for the client's decision about whether to proceed with the enhancement or when to schedule it.</t>
  </si>
  <si>
    <t>AMS-ENH-004</t>
  </si>
  <si>
    <t>Where a client-requested configuration change is ambiguous (could be interpreted as support or enhancement), APPSolve escalates to the AMS Account Manager and the client's designated AMS contact for classification before work commences. Agreed classifications are logged in the monthly report.</t>
  </si>
  <si>
    <t>100. Exclusions</t>
  </si>
  <si>
    <t>AMS-EXC-001</t>
  </si>
  <si>
    <t>**New Module Implementations:** Implementing Oracle Fusion modules, Acumatica modules, or BeBanking integrations not in the client's current production system is excluded from AMS. New module implementations are project work under a separate implementation SOW.</t>
  </si>
  <si>
    <t>AMS-EXC-002</t>
  </si>
  <si>
    <t>**New Integration Development:** Developing new OIC integrations or new BeBanking integrations not currently in the client's production environment is excluded from AMS. See OIC pack for integration development assumptions.</t>
  </si>
  <si>
    <t>AMS-EXC-003</t>
  </si>
  <si>
    <t>**New Data Migration:** Loading new data sets into Oracle ERP or HCM post-go-live (for example, migrating a newly acquired company's supplier master or adding historical transactions from a merged entity) is excluded from AMS and requires a separately scoped data migration engagement.</t>
  </si>
  <si>
    <t>AMS-EXC-004</t>
  </si>
  <si>
    <t>**New Report Development:** Developing new OTBI reports, FRS reports, BI Publisher reports, or Acumatica reports not in the client's existing report library is excluded from AMS. New report development is a project item. Adjusting existing in-scope reports within the report scope defined in the AMS agreement is a service request.</t>
  </si>
  <si>
    <t>AMS-EXC-005</t>
  </si>
  <si>
    <t>**Regulatory Compliance Advice:** APPSolve does not provide tax, legal, audit, or regulatory compliance advice under AMS. System configuration to implement compliance requirements must be driven by a client-provided requirement specification approved by the client's tax or legal team.</t>
  </si>
  <si>
    <t>AMS-EXC-006</t>
  </si>
  <si>
    <t>**End-User Training:** Delivering training to the client's users on existing Oracle or Acumatica functionality is excluded from standard AMS. Training can be contracted as a separately invoiced training engagement. APPSolve can provide quick reference cards and job aids for simple how-to queries within the monthly support hours.</t>
  </si>
  <si>
    <t>AMS-EXC-007</t>
  </si>
  <si>
    <t>**Infrastructure Support:** Network, hardware, browser, VPN, printer, and IT infrastructure are the client's responsibility. Oracle SaaS infrastructure is Oracle's responsibility. APPSolve's AMS scope is the application configuration layer only.</t>
  </si>
  <si>
    <t>AMS-EXC-008</t>
  </si>
  <si>
    <t>**Acumatica Customisation Development:** Developing new Acumatica customisations (low-code extensions, workflow customisations, custom web services, custom report designer reports) is excluded from standard Acumatica AMS. New customisation development requires a separately scoped development engagement.</t>
  </si>
  <si>
    <t>AMS-EXC-009</t>
  </si>
  <si>
    <t>**Major Version Upgrades:** Oracle EBS major version upgrades, Acumatica major version upgrades, and BeBanking platform version migrations are excluded from standard AMS. These are project-level activities requiring planning, testing, and delivery effort far exceeding the AMS monthly support model.</t>
  </si>
  <si>
    <t>AMS-EXC-010</t>
  </si>
  <si>
    <t>**Oracle Licensing and Subscription Management:** APPSolve does not manage the client's Oracle licences, Oracle Cloud subscription changes, or Oracle product roadmap planning. These are the client's commercial relationship with Oracle. APPSolve advises on licensing implications of configuration decisions; it does not purchase, renew, or modify Oracle licences on the client's behalf.</t>
  </si>
  <si>
    <t>AMS-EXC-011</t>
  </si>
  <si>
    <t>**Business Intelligence and Analytics Development:** Developing Oracle Analytics Cloud (OAX/FAW) dashboards, reports, and data models is excluded from AMS. OAX development is separately scoped project work.</t>
  </si>
  <si>
    <t>AMS-EXC-012</t>
  </si>
  <si>
    <t>**Disaster Recovery Testing:** Planning, executing, or certifying disaster recovery tests for the client's Oracle ERP or HCM environment is excluded from AMS. Oracle SaaS DR is Oracle's responsibility; on-premises DR is the client's IT team's responsibility.</t>
  </si>
  <si>
    <t>86. Support Hours</t>
  </si>
  <si>
    <t>AMS-HRS-001</t>
  </si>
  <si>
    <t>Standard AMS support is provided during business hours: 08:00–17:00 SAST, Monday to Friday, excluding South African public holidays. Business-hours support is the default for all AMS agreements. Extended hours support (weekday evenings, Saturday, Sunday) and 24/7 support require a separate commercial agreement and are not included in the standard AMS agreement.</t>
  </si>
  <si>
    <t>AMS-HRS-002</t>
  </si>
  <si>
    <t>AMS support is delivered remotely unless on-site support is explicitly contracted. On-site support incurs a separate on-site day rate plus travel expenses as applicable. Remote-first support is the APPSolve standard for all AMS engagements.</t>
  </si>
  <si>
    <t>AMS-HRS-003</t>
  </si>
  <si>
    <t>There is no default monthly support hours allocation. The support model and allocation are governed by the specific AMS agreement. APPSolve offers both retainer-based engagements (fixed monthly fee for a defined support scope) and allocated-hour models (monthly hour bucket at a contracted rate). The model, allocation, and overage terms are defined in each AMS agreement. Where an allocated-hour model applies, hours not used in a given month do not roll over to the following month.</t>
  </si>
  <si>
    <t>AMS-HRS-004</t>
  </si>
  <si>
    <t>Hours consumed against the monthly allocation are tracked and reported. APPSolve provides a monthly support activity report showing: incidents resolved; service requests completed; hours consumed; hours remaining; change requests raised; and open items carried to the following month.</t>
  </si>
  <si>
    <t>AMS-HRS-005</t>
  </si>
  <si>
    <t>Where the monthly hours allocation is exhausted before month-end, APPSolve notifies the client immediately. Additional hours may be approved by the client at the applicable AMS hourly rate. APPSolve does not continue work beyond the monthly allocation without written client approval.</t>
  </si>
  <si>
    <t>AMS-HRS-006</t>
  </si>
  <si>
    <t>Public holiday support: APPSolve does not provide AMS support on South African public holidays under the standard business hours agreement. Where the client requires support on public holidays, this is arranged separately and billed at the applicable out-of-hours rate.</t>
  </si>
  <si>
    <t>88. Incident Management</t>
  </si>
  <si>
    <t>AMS-INC-001</t>
  </si>
  <si>
    <t>An incident is an unplanned interruption or degradation of a supported application. Incidents are distinguished from service requests (planned configuration changes) and change requests (enhancements or new scope). The incident classification determines the priority level and SLA response target.</t>
  </si>
  <si>
    <t>AMS-INC-002</t>
  </si>
  <si>
    <t>Incidents are classified by the client at the time of logging. APPSolve may reclassify an incident based on its assessment of business impact. Where APPSolve downgrades an incident from P1 to P2, the client is notified with the reason. Where the client disputes the reclassification, the AMS Account Manager resolves the classification within four (4) business hours.</t>
  </si>
  <si>
    <t>AMS-INC-003</t>
  </si>
  <si>
    <t>Incident ownership: APPSolve owns the investigation and resolution of application configuration and integration defects. Incidents caused by client data entry errors, client business process errors, client IT infrastructure failures (network, hardware, browser), or Oracle SaaS platform outages are not APPSolve defects. APPSolve assists in the diagnosis of such incidents but the resolution responsibility lies with the relevant party.</t>
  </si>
  <si>
    <t>AMS-INC-004</t>
  </si>
  <si>
    <t>Oracle SaaS platform availability: Oracle Fusion HCM and ERP are delivered on Oracle's SaaS infrastructure. Oracle SaaS outages and Oracle-caused service degradation are outside APPSolve's control. APPSolve logs Oracle SRs, monitors Oracle's resolution progress, and communicates status to the client. SLA clock is paused during Oracle-caused outages.</t>
  </si>
  <si>
    <t>AMS-INC-005</t>
  </si>
  <si>
    <t>Incident resolution: APPSolve provides resolution for application configuration incidents. For complex incidents requiring Oracle Support involvement (Oracle bug, Oracle platform issue, Oracle patch required), resolution timelines depend on Oracle's support processes and are outside APPSolve's control. APPSolve manages Oracle SR progress on the client's behalf and provides weekly status updates for open Oracle SRs.</t>
  </si>
  <si>
    <t>97. Monitoring</t>
  </si>
  <si>
    <t>AMS-MON-001</t>
  </si>
  <si>
    <t>Standard AMS includes mailbox monitoring during contracted support hours only — APPSolve monitors the support mailbox and responds to tickets logged during business hours. Proactive monitoring of Oracle OIC integration error consoles, automated alerting, infrastructure monitoring, and application performance monitoring are excluded from standard AMS unless specifically contracted as a monitoring add-on service. Where a monitoring add-on is contracted, APPSolve reviews the OIC error console at the agreed frequency, logs incidents for any failed integrations, and commences investigation within the SLA response time. 24/7 monitoring, automated alerting frameworks, and infrastructure-level monitoring require a separately scoped and priced monitoring engagement.</t>
  </si>
  <si>
    <t>AMS-MON-002</t>
  </si>
  <si>
    <t>Proactive monitoring — automated alerting, SLA-based monitoring dashboards, infrastructure monitoring, and log aggregation — requires a separate monitoring tooling arrangement. APPSolve does not provide a proprietary monitoring platform; where the client requires proactive monitoring, APPSolve can configure Oracle OIC's built-in alerting and notification framework as a configuration activity within AMS.</t>
  </si>
  <si>
    <t>AMS-MON-003</t>
  </si>
  <si>
    <t>Oracle Fusion HCM and ERP system health monitoring is Oracle's responsibility as the SaaS provider. Oracle operates the infrastructure, monitors availability, and manages platform incidents. The Oracle SaaS status page is the authoritative source for platform availability status. APPSolve does not duplicate Oracle's infrastructure monitoring.</t>
  </si>
  <si>
    <t>AMS-MON-004</t>
  </si>
  <si>
    <t>BeBanking monitoring: APPSolve monitors OIC integration error logs for BeBanking H2H integrations where BeBanking AMS is contracted. BeBanking platform monitoring (the BeBanking H2H portal, bank connectivity status) is BeBanking's responsibility.</t>
  </si>
  <si>
    <t>96. Patching</t>
  </si>
  <si>
    <t>AMS-PAT-001</t>
  </si>
  <si>
    <t>Oracle Fusion HCM and ERP patches are applied by Oracle as part of the SaaS subscription. APPSolve does not apply Oracle SaaS patches; Oracle manages patching automatically as part of its platform management. APPSolve's role is to monitor for patch-related regressions and resolve them under the AMS SLA.</t>
  </si>
  <si>
    <t>AMS-PAT-002</t>
  </si>
  <si>
    <t>Oracle EBS patching: where APPSolve provides AMS for Oracle EBS (on-premises or OCI-hosted), patch assessment, testing, and application are separately contracted. Oracle EBS patching is a technical DBA task and is not included in standard application AMS unless a DBA support component is explicitly in scope.</t>
  </si>
  <si>
    <t>AMS-PAT-003</t>
  </si>
  <si>
    <t>Acumatica patching: Acumatica maintenance builds are applied by Acumatica or the client's Acumatica cloud host (Acumatica SaaS or partner-hosted). APPSolve monitors for Acumatica build compatibility with the client's customisations and advises accordingly. Where a build update breaks a client customisation, APPSolve investigates and resolves under AMS.</t>
  </si>
  <si>
    <t>94. Priority Definitions</t>
  </si>
  <si>
    <t>AMS-PRI-001</t>
  </si>
  <si>
    <t>Standard APPSolve AMS priority classification and response time targets: | Priority | Definition | Response Target | |---|---|---| | **P1 — Critical** | Complete system outage affecting all users; payroll processing blocked; financial period-end processing blocked; all integrations failed; data loss or corruption risk. System is unusable for core business functions. | **1 hour** | | **P2 — Major** | Major functionality impaired affecting a significant user population or a critical business process; key financial transactions cannot be processed; major integration failure affecting payment runs or bank reconciliation. Workaround exists but is severely limiting. | **4 business hours** | | **P3 — Normal** | Non-critical functionality impaired; a subset of users affected; workaround exists and is practical; non-urgent configuration question; report not working as expected. | **1 business day** | | **P4 — Minor** | Minor cosmetic issue; general how-to question; non-urgent service request; documentation request; low-impact configuration query. | **3 business days** | Response targets are uniform across Oracle, Acumatica, and BeBanking AMS. Response time is not resolution time (see AMS-SLA-001).</t>
  </si>
  <si>
    <t>AMS-PRI-002</t>
  </si>
  <si>
    <t>Priority escalation: where a P3 or P4 issue has not been resolved within the expected timeframe and its business impact increases (for example, a P3 report error becomes P2 at month-end), the client may request a priority re-classification. APPSolve's AMS Account Manager reviews the re-classification request within four (4) business hours.</t>
  </si>
  <si>
    <t>AMS-PRI-003</t>
  </si>
  <si>
    <t>P1 incidents: APPSolve commits to providing an initial response and diagnosis update within the contracted P1 response time. For P1 incidents occurring outside business hours under a standard (business hours) SLA, APPSolve will respond at the start of the next business day. Where a P1 outside-hours response is required, this must be contracted as a 24/7 SLA add-on.</t>
  </si>
  <si>
    <t>95. Release Management</t>
  </si>
  <si>
    <t>AMS-REL-001</t>
  </si>
  <si>
    <t>Oracle Fusion HCM and ERP receive quarterly platform updates from Oracle (typically January, April, July, October). Oracle manages the update schedule; APPSolve does not control Oracle's release cadence. APPSolve provides Oracle quarterly release advisory as a standard AMS service item — reviewing Oracle release notes for the client's contracted modules and flagging changes with potential impact on the client's configured processes. The advisory is a review and notification service. Regression testing, UAT execution, and business process validation following each Oracle quarterly update are excluded from standard AMS unless specifically contracted as a separately priced service. The customer remains responsible for business testing of their own processes before and after each quarterly update.</t>
  </si>
  <si>
    <t>AMS-REL-002</t>
  </si>
  <si>
    <t>Where an Oracle quarterly update introduces a change that affects the client's configured process or causes a regression, APPSolve investigates and resolves the regression as an AMS incident under the standard SLA. Oracle platform-caused regressions are investigated by APPSolve; where an Oracle bug is identified, APPSolve logs an Oracle SR and manages resolution.</t>
  </si>
  <si>
    <t>AMS-REL-003</t>
  </si>
  <si>
    <t>Oracle quarterly update regression testing — systematically testing all configured processes in a non-production environment after each Oracle update before activating in production — is not included in standard AMS scope. Full regression testing is a separately contracted service. APPSolve recommends regression testing before each quarterly update for high-criticality environments (payroll, financial close, banking integrations).</t>
  </si>
  <si>
    <t>AMS-REL-004</t>
  </si>
  <si>
    <t>Acumatica updates: Acumatica releases major version updates and maintenance builds. APPSolve provides Acumatica release advisory under Acumatica AMS — reviewing release notes and flagging customisation compatibility risks. Full Acumatica version upgrade execution is not included in standard AMS and requires a separate upgrade engagement.</t>
  </si>
  <si>
    <t>AMS-REL-005</t>
  </si>
  <si>
    <t>BeBanking updates: BeBanking product updates and banking partner connectivity changes are managed by BeBanking. APPSolve monitors for BeBanking-initiated changes that may affect OIC integrations and provides advisory to the client. Format changes or connectivity changes initiated by BeBanking or the client's bank may require OIC integration updates — these are assessed and priced per the OIC pack assumptions.</t>
  </si>
  <si>
    <t>98. Reporting</t>
  </si>
  <si>
    <t>AMS-REP-001</t>
  </si>
  <si>
    <t>APPSolve provides a monthly support report to the client's designated AMS contact. The monthly report covers: support activity summary (tickets by priority and status); SLA compliance summary; hours consumed vs. monthly allocation; open incidents and service requests; change requests raised, approved, and in progress; Oracle SR status (where open); planned activities for the following month.</t>
  </si>
  <si>
    <t>AMS-REP-002</t>
  </si>
  <si>
    <t>The monthly report is provided within five (5) business days of the end of each calendar month. The report is delivered via email to the client's designated AMS contact and any additional distribution recipients agreed in the AMS agreement.</t>
  </si>
  <si>
    <t>AMS-REP-003</t>
  </si>
  <si>
    <t>Quarterly review meeting: APPSolve offers a quarterly AMS service review meeting (60–90 minutes, remote) to review AMS performance, discuss upcoming changes, review Oracle release impacts, and align on priorities. The quarterly review is offered as standard — whether it takes place is at the client's discretion.</t>
  </si>
  <si>
    <t>AMS-REP-004</t>
  </si>
  <si>
    <t>Ad hoc reporting: APPSolve provides ad hoc AMS reports on request (for example, a summary of all CRs for the year to date for internal audit, or a support activity extract for a specific period). Ad hoc reports are reasonable requests fulfilled within the monthly hours allocation.</t>
  </si>
  <si>
    <t>85. Support Scope</t>
  </si>
  <si>
    <t>AMS-SCP-001</t>
  </si>
  <si>
    <t>APPSolve AMS scope is limited to the applications and modules explicitly listed in the AMS agreement. Support for an application or module not named in the AMS agreement is excluded. Adding a new application to an existing AMS agreement requires a scope change to the AMS contract.</t>
  </si>
  <si>
    <t>AMS-SCP-002</t>
  </si>
  <si>
    <t>APPSolve provides Level 2 and Level 3 application and technical support only. Level 1 support — the first point of contact for users with questions or requests, service desk ticket creation, user communication, and first-line triage — remains the client's responsibility unless Level 1 support is explicitly contracted as an add-on service.</t>
  </si>
  <si>
    <t>AMS-SCP-003</t>
  </si>
  <si>
    <t>Level 2 support covers: functional configuration questions and configuration adjustments within the existing system design; application error investigation and diagnosis; user access and security role assignment support where this has been delegated to APPSolve; data correction assistance for system-originated data issues; workflow configuration adjustments (approval routing changes that do not constitute structural redesign); and report adjustments within the existing report framework.</t>
  </si>
  <si>
    <t>AMS-SCP-004</t>
  </si>
  <si>
    <t>Level 3 support covers: technical investigation of Oracle platform issues, Oracle SR (Service Request) management with Oracle Support, integration error investigation (OIC / BeBanking H2H), performance issue diagnosis, and complex configuration issues requiring senior Oracle or Acumatica certified expertise.</t>
  </si>
  <si>
    <t>AMS-SCP-005</t>
  </si>
  <si>
    <t>Oracle Application Managed Services support is scoped to the Oracle applications configured and delivered during the implementation. APPSolve does not support Oracle applications not configured by APPSolve, or applications configured by other parties, without a separate scope assessment and onboarding engagement.</t>
  </si>
  <si>
    <t>AMS-SCP-006</t>
  </si>
  <si>
    <t>BeBanking AMS support covers: OIC integration error investigation for BeBanking H2H flows; file format and payment file query handling; BeBanking connectivity issue escalation to BeBanking; and bank statement import troubleshooting. BeBanking AMS is only available where Carin Webb (sole BeBanking OIC resource) is available — see CONSULTANT_SKILL_MATRIX.md SPOF note.</t>
  </si>
  <si>
    <t>AMS-SCP-007</t>
  </si>
  <si>
    <t>Acumatica AMS support covers: Acumatica configuration adjustments within the agreed application scope; Acumatica workflow and customisation support within the implemented framework; data correction support; Acumatica release advisory; and Acumatica user access management where contracted.</t>
  </si>
  <si>
    <t>93. SLA Assumptions</t>
  </si>
  <si>
    <t>AMS-SLA-001</t>
  </si>
  <si>
    <t>APPSolve's standard AMS SLA defines the following response time targets per priority level, applicable uniformly across Oracle, Acumatica, and BeBanking AMS agreements: | Priority | Target Response Time | |---|---| | P1 — Critical | 1 hour (from ticket logging during contracted support hours) | | P2 — Major | 4 business hours | | P3 — Normal | 1 business day | | P4 — Minor | 3 business days | Response time is the time from ticket logging to APPSolve's first substantive response — acknowledgement, initial diagnosis, or a request for additional information required to commence investigation. Response time is not resolution time. Guaranteed resolution time requires a separately contracted resolution SLA.</t>
  </si>
  <si>
    <t>AMS-SLA-002</t>
  </si>
  <si>
    <t>SLA clock starts when the ticket is logged in APPSolve's support system during business hours. Tickets logged outside business hours (evenings, weekends, public holidays) start the SLA clock at 08:00 SAST on the next business day, unless a 24/7 SLA has been contracted.</t>
  </si>
  <si>
    <t>AMS-SLA-003</t>
  </si>
  <si>
    <t>SLA clock is paused in the following circumstances: - APPSolve is waiting for information from the client that is required to proceed with investigation or resolution - The incident is pending Oracle Support response (Oracle SR lodged; resolution outside APPSolve's control) - The client has not approved a required change to proceed with resolution - A scheduled maintenance window is in progress (agreed in advance)</t>
  </si>
  <si>
    <t>AMS-SLA-004</t>
  </si>
  <si>
    <t>SLA reporting: APPSolve reports SLA performance in the monthly support report. The report shows: total tickets logged by priority; SLA compliance rate per priority; SLA breaches with root cause; Oracle SR status for open items; change request status.</t>
  </si>
  <si>
    <t>AMS-SLA-005</t>
  </si>
  <si>
    <t>Named consultant allocation is not included in standard AMS. AMS support is delivered by the APPSolve support team on a best-effort resource allocation basis. While APPSolve endeavours to assign consultants with client-specific knowledge, no named consultant commitment is made under standard AMS. A dedicated named consultant arrangement — where a specific consultant is contractually committed to the client's AMS account — requires a separate commercial agreement at the applicable dedicated-resource rate.</t>
  </si>
  <si>
    <t>89. Service Requests</t>
  </si>
  <si>
    <t>AMS-SRQ-001</t>
  </si>
  <si>
    <t>A service request is a planned, pre-agreed configuration change or task that does not constitute a defect and does not represent new scope. Service requests are fulfilled within the monthly hours allocation. Examples: adding a new user and assigning roles; updating an existing approval limit in a workflow; adding a new GL account to an existing value set; updating a document sequence; configuring a new supplier payment term.</t>
  </si>
  <si>
    <t>AMS-SRQ-002</t>
  </si>
  <si>
    <t>Service requests are prioritised within the monthly allocation based on business need, as agreed between the client's designated AMS contact and APPSolve's AMS Team Lead. APPSolve does not guarantee fulfilment of all service requests within a given month if the volume exceeds the monthly allocation.</t>
  </si>
  <si>
    <t>AMS-SRQ-003</t>
  </si>
  <si>
    <t>Service requests that are assessed as requiring design work, testing, or stakeholder approval before implementation — even if small — are raised as change requests rather than service requests. The boundary between SR and CR is the need for a documented design and formal approval.</t>
  </si>
  <si>
    <t>AMS-SRQ-004</t>
  </si>
  <si>
    <t>Standard service request catalogue: APPSolve maintains a list of standard service requests with pre-defined effort estimates. Requests on the standard catalogue are fulfilled within the allocated hours without further negotiation. Non-catalogue requests are assessed per complexity and agreed with the client before work commences.</t>
  </si>
  <si>
    <t>Code</t>
  </si>
  <si>
    <t>Frontmatter Count</t>
  </si>
  <si>
    <t>Body Count (Parsed)</t>
  </si>
  <si>
    <t>Register Count</t>
  </si>
  <si>
    <t>Count Match?</t>
  </si>
  <si>
    <t>Register Present?</t>
  </si>
  <si>
    <t>Outstanding Decisions</t>
  </si>
  <si>
    <t>Critical Decisions</t>
  </si>
  <si>
    <t>Last Updated</t>
  </si>
  <si>
    <t>HCM</t>
  </si>
  <si>
    <t>N/A</t>
  </si>
  <si>
    <t>✓</t>
  </si>
  <si>
    <t>No (No Register)</t>
  </si>
  <si>
    <t>2026-06-16</t>
  </si>
  <si>
    <t>REC</t>
  </si>
  <si>
    <t>MISMATCH (fm=52, body=54)</t>
  </si>
  <si>
    <t>LRN</t>
  </si>
  <si>
    <t>MISMATCH (fm=43, body=37)</t>
  </si>
  <si>
    <t>TLT</t>
  </si>
  <si>
    <t>MISMATCH (fm=38, body=31)</t>
  </si>
  <si>
    <t>COM</t>
  </si>
  <si>
    <t>MISMATCH (fm=40, body=30)</t>
  </si>
  <si>
    <t>OIC</t>
  </si>
  <si>
    <t>MISMATCH (fm=101, body=104)</t>
  </si>
  <si>
    <t>Yes</t>
  </si>
  <si>
    <t>ERP</t>
  </si>
  <si>
    <t>MISMATCH (fm=128, body=123)</t>
  </si>
  <si>
    <t>OCI</t>
  </si>
  <si>
    <t>ACU</t>
  </si>
  <si>
    <t>BB</t>
  </si>
  <si>
    <t>MISMATCH (fm=96, body=84)</t>
  </si>
  <si>
    <t>Decision ID</t>
  </si>
  <si>
    <t>Decision Description</t>
  </si>
  <si>
    <t>Affected Assumptions</t>
  </si>
  <si>
    <t>BU-ACU-009</t>
  </si>
  <si>
    <t>Acumatica</t>
  </si>
  <si>
    <t>See pack for BU tag</t>
  </si>
  <si>
    <t>Pending</t>
  </si>
  <si>
    <t>BeBanking</t>
  </si>
  <si>
    <t>PaySpace integration method standard</t>
  </si>
  <si>
    <t>ACU-PAY-001, ACU-PAY-004</t>
  </si>
  <si>
    <t>Integration tier definitions</t>
  </si>
  <si>
    <t>BI connector scope</t>
  </si>
  <si>
    <t>ISV support list</t>
  </si>
  <si>
    <t>BU-ACU-010</t>
  </si>
  <si>
    <t>Legacy data migration default</t>
  </si>
  <si>
    <t>Non-PaySpace payroll policy</t>
  </si>
  <si>
    <t>POPIA data residency disclosure</t>
  </si>
  <si>
    <t>Supported bank list — standard scope</t>
  </si>
  <si>
    <t>BU-BB-002</t>
  </si>
  <si>
    <t>New bank onboarding charging model</t>
  </si>
  <si>
    <t>Forex inclusion in base subscription</t>
  </si>
  <si>
    <t>BB-FX-002, BB-GEN-008</t>
  </si>
  <si>
    <t>BeBanking payroll source support policy</t>
  </si>
  <si>
    <t>Recruiting Booster scope trigger</t>
  </si>
  <si>
    <t>Background check integration scope</t>
  </si>
  <si>
    <t>BU-ACU-005</t>
  </si>
  <si>
    <t>Parallel run default position</t>
  </si>
  <si>
    <t>BU-ACU-006</t>
  </si>
  <si>
    <t>Standard reports included per module</t>
  </si>
  <si>
    <t>BU-ACU-007</t>
  </si>
  <si>
    <t>Training delivery format default</t>
  </si>
  <si>
    <t>BU-ACU-008</t>
  </si>
  <si>
    <t>Hypercare duration — Acumatica</t>
  </si>
  <si>
    <t>APPSolve PM inclusion default</t>
  </si>
  <si>
    <t>Consolidated reporting for multi-entity</t>
  </si>
  <si>
    <t>Hypercare duration — BeBanking</t>
  </si>
  <si>
    <t>Standard reporting pack definition</t>
  </si>
  <si>
    <t>Multi-country implementation scope</t>
  </si>
  <si>
    <t>POPIA operator disclosure — BeBanking</t>
  </si>
  <si>
    <t>Disaster recovery testing inclusion</t>
  </si>
  <si>
    <t>Career site default count</t>
  </si>
  <si>
    <t>Interview scheduling calendar</t>
  </si>
  <si>
    <t>Offer letter template count</t>
  </si>
  <si>
    <t>Agency portal default inclusion</t>
  </si>
  <si>
    <t>Historical migration years</t>
  </si>
  <si>
    <t>LinkedIn Learning connector</t>
  </si>
  <si>
    <t>360-degree feedback</t>
  </si>
  <si>
    <t>Compensation history migration</t>
  </si>
  <si>
    <t>Total Compensation Statement</t>
  </si>
  <si>
    <t>Requisition template count</t>
  </si>
  <si>
    <t>Learning community count</t>
  </si>
  <si>
    <t>Third-party LMS integration count</t>
  </si>
  <si>
    <t>SETA extract format</t>
  </si>
  <si>
    <t>Performance template count</t>
  </si>
  <si>
    <t>Succession plan count</t>
  </si>
  <si>
    <t>Career path configuration</t>
  </si>
  <si>
    <t>Merit plan count</t>
  </si>
  <si>
    <t>Bonus plan count</t>
  </si>
  <si>
    <t>Pay equity reporting</t>
  </si>
  <si>
    <t>ASSUMPTION LIBRARY MASTER REVIEW — CHANGE SUMMARY</t>
  </si>
  <si>
    <t>Metric</t>
  </si>
  <si>
    <t>Formula / Count</t>
  </si>
  <si>
    <t>Description</t>
  </si>
  <si>
    <t>Total Assumptions in Library</t>
  </si>
  <si>
    <t>Count of all rows in ASSUMPTION_MASTER (excl header)</t>
  </si>
  <si>
    <t>Keep (K)</t>
  </si>
  <si>
    <t>Assumptions marked for retention</t>
  </si>
  <si>
    <t>Delete (D)</t>
  </si>
  <si>
    <t>Assumptions marked for deletion</t>
  </si>
  <si>
    <t>Modify (M)</t>
  </si>
  <si>
    <t>Assumptions marked for modification</t>
  </si>
  <si>
    <t>Add (A)</t>
  </si>
  <si>
    <t>New assumptions to be added</t>
  </si>
  <si>
    <t>Assumptions where change has been applied</t>
  </si>
  <si>
    <t>Not Applied</t>
  </si>
  <si>
    <t>Assumptions not yet applied</t>
  </si>
  <si>
    <t>Draft Assumptions</t>
  </si>
  <si>
    <t>Assumptions in Draft packs</t>
  </si>
  <si>
    <t>Approved Assumptions</t>
  </si>
  <si>
    <t>Assumptions in Approved v1.0 packs</t>
  </si>
  <si>
    <t>With Decision Dependency</t>
  </si>
  <si>
    <t>Assumptions linked to a BU decision</t>
  </si>
  <si>
    <t>Critical Priority</t>
  </si>
  <si>
    <t>Assumptions with Critical BU dependency</t>
  </si>
  <si>
    <t>High Priority</t>
  </si>
  <si>
    <t>Assumptions with High BU dependency</t>
  </si>
  <si>
    <t>REVIEW ACTION GUIDE</t>
  </si>
  <si>
    <t>Action</t>
  </si>
  <si>
    <t>Meaning</t>
  </si>
  <si>
    <t>Keep</t>
  </si>
  <si>
    <t>Assumption is correct as written. No change required.</t>
  </si>
  <si>
    <t>D</t>
  </si>
  <si>
    <t>Delete</t>
  </si>
  <si>
    <t>Assumption should be removed from the pack.</t>
  </si>
  <si>
    <t>M</t>
  </si>
  <si>
    <t>Modify</t>
  </si>
  <si>
    <t>Assumption text needs changing. Enter new text in Proposed Wording column.</t>
  </si>
  <si>
    <t>A</t>
  </si>
  <si>
    <t>Add</t>
  </si>
  <si>
    <t>New assumption to be added (mark on a new row in ASSUMPTION_MASTER).</t>
  </si>
  <si>
    <t>Exception Type</t>
  </si>
  <si>
    <t>Assumption ID / Detail</t>
  </si>
  <si>
    <t>Expected</t>
  </si>
  <si>
    <t>Found</t>
  </si>
  <si>
    <t>Severity</t>
  </si>
  <si>
    <t>Recommended Action</t>
  </si>
  <si>
    <t>Missing Register</t>
  </si>
  <si>
    <t>No assumption register CSV file found for HCM Base</t>
  </si>
  <si>
    <t>Register CSV</t>
  </si>
  <si>
    <t>Create register CSV from pack body for HCM Base</t>
  </si>
  <si>
    <t>Count Mismatch (Frontmatter vs Body)</t>
  </si>
  <si>
    <t>assumption_count in frontmatter does not match parsed body count</t>
  </si>
  <si>
    <t>52</t>
  </si>
  <si>
    <t>54</t>
  </si>
  <si>
    <t>Verify all assumption IDs in HCM_RECRUITING_ASSUMPTIONS_V1.md; correct frontmatter assumption_count to match body</t>
  </si>
  <si>
    <t>No assumption register CSV file found for HCM Recruiting</t>
  </si>
  <si>
    <t>Create register CSV from pack body for HCM Recruiting</t>
  </si>
  <si>
    <t>43</t>
  </si>
  <si>
    <t>37</t>
  </si>
  <si>
    <t>Verify all assumption IDs in HCM_LEARNING_ASSUMPTIONS_V1.md; correct frontmatter assumption_count to match body</t>
  </si>
  <si>
    <t>No assumption register CSV file found for HCM Learning</t>
  </si>
  <si>
    <t>Create register CSV from pack body for HCM Learning</t>
  </si>
  <si>
    <t>38</t>
  </si>
  <si>
    <t>31</t>
  </si>
  <si>
    <t>Verify all assumption IDs in HCM_TALENT_ASSUMPTIONS_V1.md; correct frontmatter assumption_count to match body</t>
  </si>
  <si>
    <t>No assumption register CSV file found for HCM Talent</t>
  </si>
  <si>
    <t>Create register CSV from pack body for HCM Talent</t>
  </si>
  <si>
    <t>40</t>
  </si>
  <si>
    <t>30</t>
  </si>
  <si>
    <t>Verify all assumption IDs in HCM_COMPENSATION_ASSUMPTIONS_V1.md; correct frontmatter assumption_count to match body</t>
  </si>
  <si>
    <t>No assumption register CSV file found for HCM Compensation</t>
  </si>
  <si>
    <t>Create register CSV from pack body for HCM Compensation</t>
  </si>
  <si>
    <t>101</t>
  </si>
  <si>
    <t>104</t>
  </si>
  <si>
    <t>Verify all assumption IDs in OIC_ASSUMPTIONS_V1.md; correct frontmatter assumption_count to match body</t>
  </si>
  <si>
    <t>128</t>
  </si>
  <si>
    <t>123</t>
  </si>
  <si>
    <t>Verify all assumption IDs in ERP_ASSUMPTIONS_V1.md; correct frontmatter assumption_count to match body</t>
  </si>
  <si>
    <t>96</t>
  </si>
  <si>
    <t>84</t>
  </si>
  <si>
    <t>Verify all assumption IDs in AMS_ASSUMPTIONS_V1.md; correct frontmatter assumption_count to match body</t>
  </si>
  <si>
    <t>**Custom Software Development:** Bespoke code development, page personalisation, Oracle Fusion Application Composer extensions beyond standard low-code configuration, and Oracle VBCS application development are excluded from base scope. Any requirement for custom code is assessed and priced separately.</t>
  </si>
  <si>
    <t>Deleted OAF as that is old technology.</t>
  </si>
  <si>
    <t>Don’t we use the UAT documentation / Test scriupts for training?</t>
  </si>
  <si>
    <t>Check if this aligns with our methodology?</t>
  </si>
  <si>
    <t>APPSolve will track and manage defects identified during CRP and UAT using the CRAID Document. Configuration defects (errors in APPSolve's configuration of Oracle HCM) are remediated by APPSolve at no additional cost. Defects attributable to incorrect or incomplete client business requirements, client data quality issues, or Oracle platform behaviour are not APPSolve's responsibility to remediate within base scope.</t>
  </si>
  <si>
    <t>Using CRAID as the tool to track defects?  Or something else?</t>
  </si>
  <si>
    <t>Happy with the wording?</t>
  </si>
  <si>
    <t>In or out?</t>
  </si>
  <si>
    <t>specify 1</t>
  </si>
  <si>
    <t>A maximum of one (1) learning communities are configured in base scope. Learning communities create audience-specific learning environments within Oracle Learning. Additional learning communities beyond the agreed count constitute a scope change. The client defines the community membership rules (by business unit, job family, location, or other attribute).</t>
  </si>
  <si>
    <t>Do we need to specify a number here?</t>
  </si>
  <si>
    <t>Do we specify a number here?</t>
  </si>
  <si>
    <t xml:space="preserve">I suggest we delete this </t>
  </si>
  <si>
    <t>Please confirm</t>
  </si>
  <si>
    <t xml:space="preserve">BeBanking licensing is subscription-based. The subscription tier, supported bank list, included payment types, and transaction volume limits applicable to the client are confirmed in the commercial schedule before onboarding commences. Transaction volumes or payment types that exceed the subscribed tier require a subscription amendment. </t>
  </si>
  <si>
    <t>Confirm wording is ok?</t>
  </si>
  <si>
    <t xml:space="preserve">Post-go-live BeBanking support is provided under a BeBanking Support arrangement included in or accompanying the client's BeBanking subscription. Support scope, SLA tiers, and included services are defined in the applicable BeBanking support schedule. Where no formal BeBanking support arrangement is in place at go-live, APPSolve provides reactive platform-level break/fix support only. </t>
  </si>
  <si>
    <t>BeBanking currently supports the following banking partners: South African — ABSA, FNB, Nedbank, Standard Bank, and Investec; International — Citi Bank UK and Santander Bank Chile. Standard Bank and Nedbank Common Monatary Area integrations are covered.  Connectivity to any bank not on this list requires a new bank onboarding assessment and is separately scoped.</t>
  </si>
  <si>
    <t>Namibian banking connectivity (Nedbank Namibia, Standard Bank Namibia) is available where the client has confirmed banking relationships with those entities. Namibian H2H implementations carry additional onboarding effort compared to South African implementations and are separately scoped.</t>
  </si>
  <si>
    <t xml:space="preserve">Go-live support — APPSolve's BeBanking Solution Consultant available for the first production payment cycle — is included in the onboarding scope. Go-live support covers the first 1–3 business days of production payment processing. Extended hypercare beyond the standard go-live support period is separately defined. </t>
  </si>
  <si>
    <t xml:space="preserve">POPIA: BeBanking processes personal information (employee bank account details for payroll disbursement, individual supplier banking details) as an operator acting on behalf of the client, who is the responsible party under POPIA. APPSolve operates BeBanking in accordance with its obligations as a POPIA Data Processor. The client, as responsible party, remains accountable for the lawful basis for processing personal information through BeBanking and for issuing appropriate data subject notices. </t>
  </si>
  <si>
    <t xml:space="preserve">BeBanking currently supports forex payment processing through Citi Bank UK, ABSA and Nedbank and FNB.  Forex payment processing through other banking partners requires a new forex bank onboarding assessment and is separately scoped. </t>
  </si>
  <si>
    <t>BeBanking supports integration with Oracle EBS, Oracle Fusion Applications, and Acumatica ERP and PaySpace. BeBanking can integrate to  SAP and Sage for Payroll, with client taking responsibility for the integraiton. ERP-side integration assumptions are governed by the applicable ERP Pack (Oracle ERP Pack for Oracle ERP or Acumatica Pack for Acumatica). BB-INT assumptions govern BeBanking-side configuration only.</t>
  </si>
  <si>
    <t>BeBanking performs Account Verification Service (AVS) checks when new or changed bank details are received before submitting EFT payments to the bank where the client's bank supports this service. AVS confirms that the beneficiary account number, branch code, and legal owner are valid before payment submission. AVS charges levied by the bank are the client's responsibility. Where the client's bank does not offer AVS, this step is omitted.</t>
  </si>
  <si>
    <t>Duplicate payment detection is a standard BeBanking control. BeBanking flags potential duplicate payments (same beneficiary, within a configurable detection window) before bank submission. The duplicate detection parameters are agreed and configured during onboarding. Changes to detection parameters post-go-live are a Change Request.</t>
  </si>
  <si>
    <t>Real-time gross settlement (RTGS) are supported where the client's bank offers these services and the client holds the required bank agreements. RTGS  carry higher transaction fees levied by the bank. These fees are the client's responsibility and are not included in BeBanking's subscription cost.</t>
  </si>
  <si>
    <t xml:space="preserve">BeBanking Payroll H2H currently supports payroll payment files originating from Oracle EBS Payroll and PaySpace. These are APPSolve's primary supported payroll source platforms. Payroll files originating from other payroll systems require a separate payroll integration assessment at pre-sales. Other payroll source integration is not covered by BB-PYR assumptions without explicit SOW inclusion. </t>
  </si>
  <si>
    <t xml:space="preserve">The standard BeBanking reporting pack includes: (a) Payment Batch Status Report — open, pending, submitted, and completed batches; (b) Payment Register Report - including invoice details; (c)Bank Account Approval Report - listing processed and pending approvals; (d)Remittance Advice - proof of payment sent to supplier; (e) email Error Report - indicating non-delivery reasons; (f)Roles Report - listing Access Granted. All standard reports are available within the BeBanking application and exportable in PDF format. </t>
  </si>
  <si>
    <t xml:space="preserve">BeBanking supports multi-factor authentication (MFA) for user access. The MFA mechanism (email OTP, TOTP authenticator app, or equivalent) is confirmed during onboarding. </t>
  </si>
  <si>
    <t>Standard BeBanking support hours are 08:00–17:00 SAST, Monday to Friday, excluding South African public holidays. P1 incidents (BeBanking Production environment down; no payment processing possible) receive out-of-hours response under the standard support arrangement.  SLA response targets follow the APPSolve-wide framework: P1 = 1 hour; P2 = 4 hours; P3 = 1 business day; P4 = 3 business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</si>
</sst>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color rgb="FFFFFFFF"/>
      <name val="Calibri"/>
      <family val="2"/>
    </font>
    <font>
      <sz val="9"/>
      <name val="Calibri"/>
      <family val="2"/>
    </font>
    <font>
      <b/>
      <sz val="9"/>
      <color rgb="FF000000"/>
      <name val="Calibri"/>
      <family val="2"/>
    </font>
    <font>
      <b/>
      <sz val="9"/>
      <color rgb="FFFFFFFF"/>
      <name val="Calibri"/>
      <family val="2"/>
    </font>
    <font>
      <b/>
      <sz val="9"/>
      <name val="Calibri"/>
      <family val="2"/>
    </font>
    <font>
      <b/>
      <sz val="14"/>
      <color rgb="FF1F3864"/>
      <name val="Calibri"/>
      <family val="2"/>
    </font>
    <font>
      <b/>
      <sz val="11"/>
      <color rgb="FF1F3864"/>
      <name val="Calibri"/>
      <family val="2"/>
    </font>
    <font>
      <sz val="9"/>
      <name val="Calibri"/>
      <family val="2"/>
      <scheme val="minor"/>
    </font>
  </fonts>
  <fills count="21">
    <fill>
      <patternFill patternType="none"/>
    </fill>
    <fill>
      <patternFill patternType="gray125"/>
    </fill>
    <fill>
      <patternFill patternType="solid">
        <fgColor rgb="FF1F3864"/>
      </patternFill>
    </fill>
    <fill>
      <patternFill patternType="solid">
        <fgColor rgb="FFE2EFDA"/>
      </patternFill>
    </fill>
    <fill>
      <patternFill patternType="solid">
        <fgColor rgb="FFFFFFFF"/>
      </patternFill>
    </fill>
    <fill>
      <patternFill patternType="solid">
        <fgColor rgb="FFF2F2F2"/>
      </patternFill>
    </fill>
    <fill>
      <patternFill patternType="solid">
        <fgColor rgb="FFFFF2CC"/>
      </patternFill>
    </fill>
    <fill>
      <patternFill patternType="solid">
        <fgColor rgb="FFFF4500"/>
      </patternFill>
    </fill>
    <fill>
      <patternFill patternType="solid">
        <fgColor rgb="FFFFA500"/>
      </patternFill>
    </fill>
    <fill>
      <patternFill patternType="solid">
        <fgColor rgb="FFFFFF00"/>
      </patternFill>
    </fill>
    <fill>
      <patternFill patternType="solid">
        <fgColor rgb="FFFF0000"/>
      </patternFill>
    </fill>
    <fill>
      <patternFill patternType="solid">
        <fgColor rgb="FF2F5496"/>
      </patternFill>
    </fill>
    <fill>
      <patternFill patternType="solid">
        <fgColor rgb="FFFFE0E0"/>
      </patternFill>
    </fill>
    <fill>
      <patternFill patternType="solid">
        <fgColor rgb="FFFFD9D9"/>
      </patternFill>
    </fill>
    <fill>
      <patternFill patternType="solid">
        <fgColor rgb="FFFFE8CC"/>
      </patternFill>
    </fill>
    <fill>
      <patternFill patternType="solid">
        <fgColor rgb="FFFFFACC"/>
      </patternFill>
    </fill>
    <fill>
      <patternFill patternType="solid">
        <fgColor rgb="FFEAFACC"/>
      </patternFill>
    </fill>
    <fill>
      <patternFill patternType="solid">
        <fgColor rgb="FFDEEAF1"/>
      </patternFill>
    </fill>
    <fill>
      <patternFill patternType="solid">
        <fgColor rgb="FFC00000"/>
      </patternFill>
    </fill>
    <fill>
      <patternFill patternType="solid">
        <fgColor rgb="FFFFFF00"/>
        <bgColor indexed="64"/>
      </patternFill>
    </fill>
    <fill>
      <patternFill patternType="solid">
        <fgColor rgb="FFFFFF00"/>
        <bgColor rgb="FF0000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3">
    <xf numFmtId="0" fontId="0" fillId="0" borderId="0" xfId="0"/>
    <xf numFmtId="0" fontId="1" fillId="2" borderId="0" xfId="0" applyFont="1" applyFill="1" applyAlignment="1">
      <alignment horizontal="center" vertical="center"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3" fillId="7" borderId="1" xfId="0" applyFont="1" applyFill="1" applyBorder="1" applyAlignment="1">
      <alignment vertical="top" wrapText="1"/>
    </xf>
    <xf numFmtId="0" fontId="2" fillId="8" borderId="1" xfId="0" applyFont="1" applyFill="1" applyBorder="1" applyAlignment="1">
      <alignment vertical="top" wrapText="1"/>
    </xf>
    <xf numFmtId="0" fontId="2" fillId="9" borderId="1" xfId="0" applyFont="1" applyFill="1" applyBorder="1" applyAlignment="1">
      <alignment vertical="top" wrapText="1"/>
    </xf>
    <xf numFmtId="0" fontId="4" fillId="10" borderId="1" xfId="0" applyFont="1" applyFill="1" applyBorder="1" applyAlignment="1">
      <alignment vertical="top" wrapText="1"/>
    </xf>
    <xf numFmtId="0" fontId="1" fillId="11" borderId="0" xfId="0" applyFont="1" applyFill="1" applyAlignment="1">
      <alignment horizontal="center" vertical="center" wrapText="1"/>
    </xf>
    <xf numFmtId="0" fontId="2" fillId="0" borderId="1" xfId="0" applyFont="1" applyBorder="1" applyAlignment="1">
      <alignment vertical="center" wrapText="1"/>
    </xf>
    <xf numFmtId="0" fontId="2" fillId="3" borderId="1" xfId="0" applyFont="1" applyFill="1" applyBorder="1" applyAlignment="1">
      <alignment vertical="center" wrapText="1"/>
    </xf>
    <xf numFmtId="0" fontId="2" fillId="12" borderId="1" xfId="0" applyFont="1" applyFill="1" applyBorder="1" applyAlignment="1">
      <alignment vertical="center" wrapText="1"/>
    </xf>
    <xf numFmtId="0" fontId="5" fillId="13" borderId="1" xfId="0" applyFont="1" applyFill="1" applyBorder="1" applyAlignment="1">
      <alignment vertical="center" wrapText="1"/>
    </xf>
    <xf numFmtId="0" fontId="5" fillId="14" borderId="1" xfId="0" applyFont="1" applyFill="1" applyBorder="1" applyAlignment="1">
      <alignment vertical="center" wrapText="1"/>
    </xf>
    <xf numFmtId="0" fontId="5" fillId="15" borderId="1" xfId="0" applyFont="1" applyFill="1" applyBorder="1" applyAlignment="1">
      <alignment vertical="center" wrapText="1"/>
    </xf>
    <xf numFmtId="0" fontId="5" fillId="16" borderId="1" xfId="0" applyFont="1" applyFill="1" applyBorder="1" applyAlignment="1">
      <alignment vertical="center" wrapText="1"/>
    </xf>
    <xf numFmtId="0" fontId="1" fillId="2" borderId="0" xfId="0" applyFont="1" applyFill="1" applyAlignment="1">
      <alignment horizontal="center" vertical="center"/>
    </xf>
    <xf numFmtId="0" fontId="2" fillId="17" borderId="1" xfId="0" applyFont="1" applyFill="1" applyBorder="1" applyAlignment="1">
      <alignment vertical="center" wrapText="1"/>
    </xf>
    <xf numFmtId="0" fontId="2" fillId="4" borderId="1" xfId="0" applyFont="1" applyFill="1" applyBorder="1" applyAlignment="1">
      <alignment vertical="center" wrapText="1"/>
    </xf>
    <xf numFmtId="0" fontId="4" fillId="11" borderId="0" xfId="0" applyFont="1" applyFill="1"/>
    <xf numFmtId="0" fontId="2" fillId="5" borderId="0" xfId="0" applyFont="1" applyFill="1"/>
    <xf numFmtId="0" fontId="1" fillId="18" borderId="0" xfId="0" applyFont="1" applyFill="1" applyAlignment="1">
      <alignment horizontal="center" vertical="center" wrapText="1"/>
    </xf>
    <xf numFmtId="0" fontId="5" fillId="14" borderId="1" xfId="0" applyFont="1" applyFill="1" applyBorder="1" applyAlignment="1">
      <alignment vertical="top" wrapText="1"/>
    </xf>
    <xf numFmtId="0" fontId="5" fillId="15" borderId="1" xfId="0" applyFont="1" applyFill="1" applyBorder="1" applyAlignment="1">
      <alignment vertical="top" wrapText="1"/>
    </xf>
    <xf numFmtId="0" fontId="8" fillId="0" borderId="1" xfId="0" applyFont="1" applyBorder="1" applyAlignment="1">
      <alignment vertical="top" wrapText="1"/>
    </xf>
    <xf numFmtId="0" fontId="2" fillId="19" borderId="1" xfId="0" applyFont="1" applyFill="1" applyBorder="1" applyAlignment="1">
      <alignment vertical="top" wrapText="1"/>
    </xf>
    <xf numFmtId="0" fontId="6" fillId="0" borderId="0" xfId="0" applyFont="1"/>
    <xf numFmtId="0" fontId="0" fillId="0" borderId="0" xfId="0"/>
    <xf numFmtId="0" fontId="7" fillId="0" borderId="0" xfId="0" applyFont="1"/>
    <xf numFmtId="0" fontId="8" fillId="20"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6"/>
  <sheetViews>
    <sheetView tabSelected="1" topLeftCell="D1" zoomScale="150" zoomScaleNormal="150" workbookViewId="0">
      <pane ySplit="1" topLeftCell="A917" activePane="bottomLeft" state="frozen"/>
      <selection pane="bottomLeft" activeCell="D941" sqref="D941"/>
    </sheetView>
  </sheetViews>
  <sheetFormatPr baseColWidth="10" defaultColWidth="8.83203125" defaultRowHeight="15" x14ac:dyDescent="0.2"/>
  <cols>
    <col min="1" max="1" width="20" customWidth="1"/>
    <col min="2" max="2" width="30" customWidth="1"/>
    <col min="3" max="3" width="18" customWidth="1"/>
    <col min="4" max="4" width="80" customWidth="1"/>
    <col min="5" max="5" width="15" customWidth="1"/>
    <col min="6" max="6" width="12" customWidth="1"/>
    <col min="7" max="7" width="30" customWidth="1"/>
    <col min="8" max="8" width="14" customWidth="1"/>
    <col min="9" max="9" width="40" customWidth="1"/>
    <col min="10" max="10" width="35" customWidth="1"/>
    <col min="11" max="11" width="10" customWidth="1"/>
    <col min="12" max="12" width="14" customWidth="1"/>
  </cols>
  <sheetData>
    <row r="1" spans="1:12" ht="18" customHeight="1" x14ac:dyDescent="0.2">
      <c r="A1" s="1" t="s">
        <v>0</v>
      </c>
      <c r="B1" s="1" t="s">
        <v>1</v>
      </c>
      <c r="C1" s="1" t="s">
        <v>2</v>
      </c>
      <c r="D1" s="1" t="s">
        <v>3</v>
      </c>
      <c r="E1" s="1" t="s">
        <v>4</v>
      </c>
      <c r="F1" s="1" t="s">
        <v>5</v>
      </c>
      <c r="G1" s="1" t="s">
        <v>6</v>
      </c>
      <c r="H1" s="1" t="s">
        <v>7</v>
      </c>
      <c r="I1" s="1" t="s">
        <v>8</v>
      </c>
      <c r="J1" s="1" t="s">
        <v>9</v>
      </c>
      <c r="K1" s="1" t="s">
        <v>10</v>
      </c>
      <c r="L1" s="1" t="s">
        <v>11</v>
      </c>
    </row>
    <row r="2" spans="1:12" ht="52" x14ac:dyDescent="0.2">
      <c r="A2" s="2" t="s">
        <v>12</v>
      </c>
      <c r="B2" s="2" t="s">
        <v>13</v>
      </c>
      <c r="C2" s="2" t="s">
        <v>14</v>
      </c>
      <c r="D2" s="2" t="s">
        <v>15</v>
      </c>
      <c r="E2" s="3" t="s">
        <v>16</v>
      </c>
      <c r="F2" s="4" t="s">
        <v>17</v>
      </c>
      <c r="G2" s="2" t="s">
        <v>17</v>
      </c>
      <c r="H2" s="5" t="s">
        <v>18</v>
      </c>
      <c r="I2" s="2"/>
      <c r="J2" s="2"/>
      <c r="K2" s="2" t="s">
        <v>19</v>
      </c>
      <c r="L2" s="2"/>
    </row>
    <row r="3" spans="1:12" ht="52" x14ac:dyDescent="0.2">
      <c r="A3" s="2" t="s">
        <v>12</v>
      </c>
      <c r="B3" s="2" t="s">
        <v>13</v>
      </c>
      <c r="C3" s="2" t="s">
        <v>20</v>
      </c>
      <c r="D3" s="2" t="s">
        <v>21</v>
      </c>
      <c r="E3" s="3" t="s">
        <v>16</v>
      </c>
      <c r="F3" s="4" t="s">
        <v>17</v>
      </c>
      <c r="G3" s="2" t="s">
        <v>17</v>
      </c>
      <c r="H3" s="5" t="s">
        <v>18</v>
      </c>
      <c r="I3" s="2"/>
      <c r="J3" s="2"/>
      <c r="K3" s="2" t="s">
        <v>19</v>
      </c>
      <c r="L3" s="2"/>
    </row>
    <row r="4" spans="1:12" ht="39" x14ac:dyDescent="0.2">
      <c r="A4" s="2" t="s">
        <v>12</v>
      </c>
      <c r="B4" s="2" t="s">
        <v>13</v>
      </c>
      <c r="C4" s="2" t="s">
        <v>22</v>
      </c>
      <c r="D4" s="2" t="s">
        <v>23</v>
      </c>
      <c r="E4" s="3" t="s">
        <v>16</v>
      </c>
      <c r="F4" s="4" t="s">
        <v>17</v>
      </c>
      <c r="G4" s="2" t="s">
        <v>17</v>
      </c>
      <c r="H4" s="5" t="s">
        <v>18</v>
      </c>
      <c r="I4" s="2"/>
      <c r="J4" s="2"/>
      <c r="K4" s="2" t="s">
        <v>19</v>
      </c>
      <c r="L4" s="2"/>
    </row>
    <row r="5" spans="1:12" ht="39" x14ac:dyDescent="0.2">
      <c r="A5" s="2" t="s">
        <v>12</v>
      </c>
      <c r="B5" s="2" t="s">
        <v>13</v>
      </c>
      <c r="C5" s="2" t="s">
        <v>24</v>
      </c>
      <c r="D5" s="2" t="s">
        <v>25</v>
      </c>
      <c r="E5" s="3" t="s">
        <v>16</v>
      </c>
      <c r="F5" s="4" t="s">
        <v>17</v>
      </c>
      <c r="G5" s="2" t="s">
        <v>17</v>
      </c>
      <c r="H5" s="5" t="s">
        <v>18</v>
      </c>
      <c r="I5" s="2"/>
      <c r="J5" s="2"/>
      <c r="K5" s="2" t="s">
        <v>19</v>
      </c>
      <c r="L5" s="2"/>
    </row>
    <row r="6" spans="1:12" ht="26" x14ac:dyDescent="0.2">
      <c r="A6" s="2" t="s">
        <v>12</v>
      </c>
      <c r="B6" s="2" t="s">
        <v>13</v>
      </c>
      <c r="C6" s="2" t="s">
        <v>26</v>
      </c>
      <c r="D6" s="2" t="s">
        <v>27</v>
      </c>
      <c r="E6" s="3" t="s">
        <v>16</v>
      </c>
      <c r="F6" s="4" t="s">
        <v>17</v>
      </c>
      <c r="G6" s="2" t="s">
        <v>17</v>
      </c>
      <c r="H6" s="5" t="s">
        <v>18</v>
      </c>
      <c r="I6" s="2"/>
      <c r="J6" s="2"/>
      <c r="K6" s="2" t="s">
        <v>19</v>
      </c>
      <c r="L6" s="2"/>
    </row>
    <row r="7" spans="1:12" ht="39" x14ac:dyDescent="0.2">
      <c r="A7" s="2" t="s">
        <v>12</v>
      </c>
      <c r="B7" s="2" t="s">
        <v>13</v>
      </c>
      <c r="C7" s="2" t="s">
        <v>28</v>
      </c>
      <c r="D7" s="2" t="s">
        <v>29</v>
      </c>
      <c r="E7" s="3" t="s">
        <v>16</v>
      </c>
      <c r="F7" s="4" t="s">
        <v>17</v>
      </c>
      <c r="G7" s="2" t="s">
        <v>17</v>
      </c>
      <c r="H7" s="5" t="s">
        <v>18</v>
      </c>
      <c r="I7" s="2"/>
      <c r="J7" s="2"/>
      <c r="K7" s="2" t="s">
        <v>19</v>
      </c>
      <c r="L7" s="2"/>
    </row>
    <row r="8" spans="1:12" ht="39" x14ac:dyDescent="0.2">
      <c r="A8" s="2" t="s">
        <v>12</v>
      </c>
      <c r="B8" s="2" t="s">
        <v>30</v>
      </c>
      <c r="C8" s="2" t="s">
        <v>31</v>
      </c>
      <c r="D8" s="2" t="s">
        <v>32</v>
      </c>
      <c r="E8" s="3" t="s">
        <v>16</v>
      </c>
      <c r="F8" s="4" t="s">
        <v>17</v>
      </c>
      <c r="G8" s="2" t="s">
        <v>17</v>
      </c>
      <c r="H8" s="5" t="s">
        <v>18</v>
      </c>
      <c r="I8" s="2"/>
      <c r="J8" s="2"/>
      <c r="K8" s="2" t="s">
        <v>19</v>
      </c>
      <c r="L8" s="2"/>
    </row>
    <row r="9" spans="1:12" ht="39" x14ac:dyDescent="0.2">
      <c r="A9" s="2" t="s">
        <v>12</v>
      </c>
      <c r="B9" s="2" t="s">
        <v>30</v>
      </c>
      <c r="C9" s="2" t="s">
        <v>33</v>
      </c>
      <c r="D9" s="2" t="s">
        <v>34</v>
      </c>
      <c r="E9" s="3" t="s">
        <v>16</v>
      </c>
      <c r="F9" s="4" t="s">
        <v>17</v>
      </c>
      <c r="G9" s="2" t="s">
        <v>17</v>
      </c>
      <c r="H9" s="5" t="s">
        <v>18</v>
      </c>
      <c r="I9" s="2"/>
      <c r="J9" s="2"/>
      <c r="K9" s="2" t="s">
        <v>19</v>
      </c>
      <c r="L9" s="2"/>
    </row>
    <row r="10" spans="1:12" ht="26" x14ac:dyDescent="0.2">
      <c r="A10" s="2" t="s">
        <v>12</v>
      </c>
      <c r="B10" s="2" t="s">
        <v>30</v>
      </c>
      <c r="C10" s="2" t="s">
        <v>35</v>
      </c>
      <c r="D10" s="2" t="s">
        <v>36</v>
      </c>
      <c r="E10" s="3" t="s">
        <v>16</v>
      </c>
      <c r="F10" s="4" t="s">
        <v>17</v>
      </c>
      <c r="G10" s="2" t="s">
        <v>17</v>
      </c>
      <c r="H10" s="5" t="s">
        <v>18</v>
      </c>
      <c r="I10" s="2"/>
      <c r="J10" s="2"/>
      <c r="K10" s="2" t="s">
        <v>19</v>
      </c>
      <c r="L10" s="2"/>
    </row>
    <row r="11" spans="1:12" ht="26" x14ac:dyDescent="0.2">
      <c r="A11" s="2" t="s">
        <v>12</v>
      </c>
      <c r="B11" s="2" t="s">
        <v>30</v>
      </c>
      <c r="C11" s="2" t="s">
        <v>37</v>
      </c>
      <c r="D11" s="2" t="s">
        <v>38</v>
      </c>
      <c r="E11" s="3" t="s">
        <v>16</v>
      </c>
      <c r="F11" s="4" t="s">
        <v>17</v>
      </c>
      <c r="G11" s="2" t="s">
        <v>17</v>
      </c>
      <c r="H11" s="5" t="s">
        <v>18</v>
      </c>
      <c r="I11" s="2"/>
      <c r="J11" s="2"/>
      <c r="K11" s="2" t="s">
        <v>19</v>
      </c>
      <c r="L11" s="2"/>
    </row>
    <row r="12" spans="1:12" ht="39" x14ac:dyDescent="0.2">
      <c r="A12" s="2" t="s">
        <v>12</v>
      </c>
      <c r="B12" s="2" t="s">
        <v>39</v>
      </c>
      <c r="C12" s="2" t="s">
        <v>40</v>
      </c>
      <c r="D12" s="2" t="s">
        <v>41</v>
      </c>
      <c r="E12" s="3" t="s">
        <v>16</v>
      </c>
      <c r="F12" s="4" t="s">
        <v>17</v>
      </c>
      <c r="G12" s="2" t="s">
        <v>17</v>
      </c>
      <c r="H12" s="5" t="s">
        <v>18</v>
      </c>
      <c r="I12" s="2"/>
      <c r="J12" s="2"/>
      <c r="K12" s="2" t="s">
        <v>19</v>
      </c>
      <c r="L12" s="2"/>
    </row>
    <row r="13" spans="1:12" ht="52" x14ac:dyDescent="0.2">
      <c r="A13" s="2" t="s">
        <v>12</v>
      </c>
      <c r="B13" s="2" t="s">
        <v>39</v>
      </c>
      <c r="C13" s="2" t="s">
        <v>42</v>
      </c>
      <c r="D13" s="2" t="s">
        <v>43</v>
      </c>
      <c r="E13" s="3" t="s">
        <v>16</v>
      </c>
      <c r="F13" s="4" t="s">
        <v>17</v>
      </c>
      <c r="G13" s="2" t="s">
        <v>17</v>
      </c>
      <c r="H13" s="5" t="s">
        <v>18</v>
      </c>
      <c r="I13" s="2"/>
      <c r="J13" s="2"/>
      <c r="K13" s="2" t="s">
        <v>19</v>
      </c>
      <c r="L13" s="2"/>
    </row>
    <row r="14" spans="1:12" ht="39" x14ac:dyDescent="0.2">
      <c r="A14" s="2" t="s">
        <v>12</v>
      </c>
      <c r="B14" s="2" t="s">
        <v>39</v>
      </c>
      <c r="C14" s="2" t="s">
        <v>44</v>
      </c>
      <c r="D14" s="2" t="s">
        <v>45</v>
      </c>
      <c r="E14" s="3" t="s">
        <v>16</v>
      </c>
      <c r="F14" s="4" t="s">
        <v>17</v>
      </c>
      <c r="G14" s="2" t="s">
        <v>17</v>
      </c>
      <c r="H14" s="5" t="s">
        <v>18</v>
      </c>
      <c r="I14" s="2"/>
      <c r="J14" s="2"/>
      <c r="K14" s="2" t="s">
        <v>19</v>
      </c>
      <c r="L14" s="2"/>
    </row>
    <row r="15" spans="1:12" ht="39" x14ac:dyDescent="0.2">
      <c r="A15" s="2" t="s">
        <v>12</v>
      </c>
      <c r="B15" s="2" t="s">
        <v>39</v>
      </c>
      <c r="C15" s="2" t="s">
        <v>46</v>
      </c>
      <c r="D15" s="2" t="s">
        <v>47</v>
      </c>
      <c r="E15" s="3" t="s">
        <v>16</v>
      </c>
      <c r="F15" s="4" t="s">
        <v>17</v>
      </c>
      <c r="G15" s="2" t="s">
        <v>17</v>
      </c>
      <c r="H15" s="5" t="s">
        <v>18</v>
      </c>
      <c r="I15" s="2"/>
      <c r="J15" s="2"/>
      <c r="K15" s="2" t="s">
        <v>19</v>
      </c>
      <c r="L15" s="2"/>
    </row>
    <row r="16" spans="1:12" ht="39" x14ac:dyDescent="0.2">
      <c r="A16" s="2" t="s">
        <v>12</v>
      </c>
      <c r="B16" s="2" t="s">
        <v>39</v>
      </c>
      <c r="C16" s="2" t="s">
        <v>48</v>
      </c>
      <c r="D16" s="2" t="s">
        <v>49</v>
      </c>
      <c r="E16" s="3" t="s">
        <v>16</v>
      </c>
      <c r="F16" s="4" t="s">
        <v>17</v>
      </c>
      <c r="G16" s="2" t="s">
        <v>17</v>
      </c>
      <c r="H16" s="5" t="s">
        <v>18</v>
      </c>
      <c r="I16" s="2"/>
      <c r="J16" s="2"/>
      <c r="K16" s="2" t="s">
        <v>19</v>
      </c>
      <c r="L16" s="2"/>
    </row>
    <row r="17" spans="1:12" ht="52" x14ac:dyDescent="0.2">
      <c r="A17" s="2" t="s">
        <v>12</v>
      </c>
      <c r="B17" s="2" t="s">
        <v>39</v>
      </c>
      <c r="C17" s="2" t="s">
        <v>50</v>
      </c>
      <c r="D17" s="2" t="s">
        <v>51</v>
      </c>
      <c r="E17" s="3" t="s">
        <v>16</v>
      </c>
      <c r="F17" s="4" t="s">
        <v>17</v>
      </c>
      <c r="G17" s="2" t="s">
        <v>17</v>
      </c>
      <c r="H17" s="5" t="s">
        <v>18</v>
      </c>
      <c r="I17" s="2"/>
      <c r="J17" s="2"/>
      <c r="K17" s="2" t="s">
        <v>19</v>
      </c>
      <c r="L17" s="2"/>
    </row>
    <row r="18" spans="1:12" ht="39" x14ac:dyDescent="0.2">
      <c r="A18" s="2" t="s">
        <v>12</v>
      </c>
      <c r="B18" s="2" t="s">
        <v>39</v>
      </c>
      <c r="C18" s="2" t="s">
        <v>52</v>
      </c>
      <c r="D18" s="2" t="s">
        <v>53</v>
      </c>
      <c r="E18" s="3" t="s">
        <v>16</v>
      </c>
      <c r="F18" s="4" t="s">
        <v>17</v>
      </c>
      <c r="G18" s="2" t="s">
        <v>17</v>
      </c>
      <c r="H18" s="5" t="s">
        <v>18</v>
      </c>
      <c r="I18" s="2"/>
      <c r="J18" s="2"/>
      <c r="K18" s="2" t="s">
        <v>19</v>
      </c>
      <c r="L18" s="2"/>
    </row>
    <row r="19" spans="1:12" ht="39" x14ac:dyDescent="0.2">
      <c r="A19" s="2" t="s">
        <v>12</v>
      </c>
      <c r="B19" s="2" t="s">
        <v>39</v>
      </c>
      <c r="C19" s="2" t="s">
        <v>54</v>
      </c>
      <c r="D19" s="2" t="s">
        <v>55</v>
      </c>
      <c r="E19" s="3" t="s">
        <v>16</v>
      </c>
      <c r="F19" s="4" t="s">
        <v>17</v>
      </c>
      <c r="G19" s="2" t="s">
        <v>17</v>
      </c>
      <c r="H19" s="5" t="s">
        <v>18</v>
      </c>
      <c r="I19" s="2"/>
      <c r="J19" s="2"/>
      <c r="K19" s="2" t="s">
        <v>19</v>
      </c>
      <c r="L19" s="2"/>
    </row>
    <row r="20" spans="1:12" ht="39" x14ac:dyDescent="0.2">
      <c r="A20" s="2" t="s">
        <v>12</v>
      </c>
      <c r="B20" s="2" t="s">
        <v>39</v>
      </c>
      <c r="C20" s="2" t="s">
        <v>56</v>
      </c>
      <c r="D20" s="2" t="s">
        <v>57</v>
      </c>
      <c r="E20" s="3" t="s">
        <v>16</v>
      </c>
      <c r="F20" s="4" t="s">
        <v>17</v>
      </c>
      <c r="G20" s="2" t="s">
        <v>17</v>
      </c>
      <c r="H20" s="5" t="s">
        <v>18</v>
      </c>
      <c r="I20" s="2"/>
      <c r="J20" s="2"/>
      <c r="K20" s="2" t="s">
        <v>19</v>
      </c>
      <c r="L20" s="2"/>
    </row>
    <row r="21" spans="1:12" ht="26" x14ac:dyDescent="0.2">
      <c r="A21" s="2" t="s">
        <v>12</v>
      </c>
      <c r="B21" s="2" t="s">
        <v>39</v>
      </c>
      <c r="C21" s="2" t="s">
        <v>58</v>
      </c>
      <c r="D21" s="2" t="s">
        <v>59</v>
      </c>
      <c r="E21" s="3" t="s">
        <v>16</v>
      </c>
      <c r="F21" s="4" t="s">
        <v>17</v>
      </c>
      <c r="G21" s="2" t="s">
        <v>17</v>
      </c>
      <c r="H21" s="5" t="s">
        <v>18</v>
      </c>
      <c r="I21" s="2"/>
      <c r="J21" s="2"/>
      <c r="K21" s="2" t="s">
        <v>19</v>
      </c>
      <c r="L21" s="2"/>
    </row>
    <row r="22" spans="1:12" ht="39" x14ac:dyDescent="0.2">
      <c r="A22" s="2" t="s">
        <v>12</v>
      </c>
      <c r="B22" s="2" t="s">
        <v>60</v>
      </c>
      <c r="C22" s="2" t="s">
        <v>61</v>
      </c>
      <c r="D22" s="2" t="s">
        <v>62</v>
      </c>
      <c r="E22" s="3" t="s">
        <v>16</v>
      </c>
      <c r="F22" s="4" t="s">
        <v>17</v>
      </c>
      <c r="G22" s="2" t="s">
        <v>17</v>
      </c>
      <c r="H22" s="5" t="s">
        <v>18</v>
      </c>
      <c r="I22" s="2"/>
      <c r="J22" s="2"/>
      <c r="K22" s="2" t="s">
        <v>19</v>
      </c>
      <c r="L22" s="2"/>
    </row>
    <row r="23" spans="1:12" ht="39" x14ac:dyDescent="0.2">
      <c r="A23" s="2" t="s">
        <v>12</v>
      </c>
      <c r="B23" s="2" t="s">
        <v>60</v>
      </c>
      <c r="C23" s="2" t="s">
        <v>63</v>
      </c>
      <c r="D23" s="2" t="s">
        <v>64</v>
      </c>
      <c r="E23" s="3" t="s">
        <v>16</v>
      </c>
      <c r="F23" s="4" t="s">
        <v>17</v>
      </c>
      <c r="G23" s="2" t="s">
        <v>17</v>
      </c>
      <c r="H23" s="5" t="s">
        <v>18</v>
      </c>
      <c r="I23" s="2"/>
      <c r="J23" s="2"/>
      <c r="K23" s="2" t="s">
        <v>19</v>
      </c>
      <c r="L23" s="2"/>
    </row>
    <row r="24" spans="1:12" ht="52" x14ac:dyDescent="0.2">
      <c r="A24" s="2" t="s">
        <v>12</v>
      </c>
      <c r="B24" s="2" t="s">
        <v>60</v>
      </c>
      <c r="C24" s="2" t="s">
        <v>65</v>
      </c>
      <c r="D24" s="2" t="s">
        <v>66</v>
      </c>
      <c r="E24" s="3" t="s">
        <v>16</v>
      </c>
      <c r="F24" s="4" t="s">
        <v>17</v>
      </c>
      <c r="G24" s="2" t="s">
        <v>17</v>
      </c>
      <c r="H24" s="5" t="s">
        <v>18</v>
      </c>
      <c r="I24" s="2"/>
      <c r="J24" s="2"/>
      <c r="K24" s="2" t="s">
        <v>19</v>
      </c>
      <c r="L24" s="2"/>
    </row>
    <row r="25" spans="1:12" ht="39" x14ac:dyDescent="0.2">
      <c r="A25" s="2" t="s">
        <v>12</v>
      </c>
      <c r="B25" s="2" t="s">
        <v>60</v>
      </c>
      <c r="C25" s="2" t="s">
        <v>67</v>
      </c>
      <c r="D25" s="2" t="s">
        <v>68</v>
      </c>
      <c r="E25" s="3" t="s">
        <v>16</v>
      </c>
      <c r="F25" s="4" t="s">
        <v>17</v>
      </c>
      <c r="G25" s="2" t="s">
        <v>17</v>
      </c>
      <c r="H25" s="5" t="s">
        <v>18</v>
      </c>
      <c r="I25" s="2"/>
      <c r="J25" s="2"/>
      <c r="K25" s="2" t="s">
        <v>19</v>
      </c>
      <c r="L25" s="2"/>
    </row>
    <row r="26" spans="1:12" ht="65" x14ac:dyDescent="0.2">
      <c r="A26" s="2" t="s">
        <v>12</v>
      </c>
      <c r="B26" s="2" t="s">
        <v>60</v>
      </c>
      <c r="C26" s="2" t="s">
        <v>69</v>
      </c>
      <c r="D26" s="2" t="s">
        <v>70</v>
      </c>
      <c r="E26" s="3" t="s">
        <v>16</v>
      </c>
      <c r="F26" s="4" t="s">
        <v>17</v>
      </c>
      <c r="G26" s="2" t="s">
        <v>17</v>
      </c>
      <c r="H26" s="5" t="s">
        <v>18</v>
      </c>
      <c r="I26" s="2"/>
      <c r="J26" s="2"/>
      <c r="K26" s="2" t="s">
        <v>19</v>
      </c>
      <c r="L26" s="2"/>
    </row>
    <row r="27" spans="1:12" ht="26" x14ac:dyDescent="0.2">
      <c r="A27" s="2" t="s">
        <v>12</v>
      </c>
      <c r="B27" s="2" t="s">
        <v>60</v>
      </c>
      <c r="C27" s="2" t="s">
        <v>71</v>
      </c>
      <c r="D27" s="2" t="s">
        <v>72</v>
      </c>
      <c r="E27" s="3" t="s">
        <v>16</v>
      </c>
      <c r="F27" s="4" t="s">
        <v>17</v>
      </c>
      <c r="G27" s="2" t="s">
        <v>17</v>
      </c>
      <c r="H27" s="5" t="s">
        <v>18</v>
      </c>
      <c r="I27" s="2"/>
      <c r="J27" s="2"/>
      <c r="K27" s="2" t="s">
        <v>19</v>
      </c>
      <c r="L27" s="2"/>
    </row>
    <row r="28" spans="1:12" ht="26" x14ac:dyDescent="0.2">
      <c r="A28" s="2" t="s">
        <v>12</v>
      </c>
      <c r="B28" s="2" t="s">
        <v>60</v>
      </c>
      <c r="C28" s="2" t="s">
        <v>73</v>
      </c>
      <c r="D28" s="2" t="s">
        <v>74</v>
      </c>
      <c r="E28" s="3" t="s">
        <v>16</v>
      </c>
      <c r="F28" s="4" t="s">
        <v>17</v>
      </c>
      <c r="G28" s="2" t="s">
        <v>17</v>
      </c>
      <c r="H28" s="5" t="s">
        <v>18</v>
      </c>
      <c r="I28" s="2"/>
      <c r="J28" s="2"/>
      <c r="K28" s="2" t="s">
        <v>19</v>
      </c>
      <c r="L28" s="2"/>
    </row>
    <row r="29" spans="1:12" ht="65" x14ac:dyDescent="0.2">
      <c r="A29" s="2" t="s">
        <v>12</v>
      </c>
      <c r="B29" s="2" t="s">
        <v>60</v>
      </c>
      <c r="C29" s="2" t="s">
        <v>75</v>
      </c>
      <c r="D29" s="2" t="s">
        <v>76</v>
      </c>
      <c r="E29" s="3" t="s">
        <v>16</v>
      </c>
      <c r="F29" s="4" t="s">
        <v>17</v>
      </c>
      <c r="G29" s="2" t="s">
        <v>17</v>
      </c>
      <c r="H29" s="5" t="s">
        <v>18</v>
      </c>
      <c r="I29" s="2"/>
      <c r="J29" s="2"/>
      <c r="K29" s="2" t="s">
        <v>19</v>
      </c>
      <c r="L29" s="2"/>
    </row>
    <row r="30" spans="1:12" ht="52" x14ac:dyDescent="0.2">
      <c r="A30" s="2" t="s">
        <v>12</v>
      </c>
      <c r="B30" s="2" t="s">
        <v>77</v>
      </c>
      <c r="C30" s="2" t="s">
        <v>78</v>
      </c>
      <c r="D30" s="2" t="s">
        <v>79</v>
      </c>
      <c r="E30" s="3" t="s">
        <v>16</v>
      </c>
      <c r="F30" s="4" t="s">
        <v>17</v>
      </c>
      <c r="G30" s="2" t="s">
        <v>17</v>
      </c>
      <c r="H30" s="5" t="s">
        <v>18</v>
      </c>
      <c r="I30" s="2"/>
      <c r="J30" s="2"/>
      <c r="K30" s="2" t="s">
        <v>19</v>
      </c>
      <c r="L30" s="2"/>
    </row>
    <row r="31" spans="1:12" ht="39" x14ac:dyDescent="0.2">
      <c r="A31" s="2" t="s">
        <v>12</v>
      </c>
      <c r="B31" s="2" t="s">
        <v>77</v>
      </c>
      <c r="C31" s="2" t="s">
        <v>80</v>
      </c>
      <c r="D31" s="2" t="s">
        <v>81</v>
      </c>
      <c r="E31" s="3" t="s">
        <v>16</v>
      </c>
      <c r="F31" s="4" t="s">
        <v>17</v>
      </c>
      <c r="G31" s="2" t="s">
        <v>17</v>
      </c>
      <c r="H31" s="5" t="s">
        <v>18</v>
      </c>
      <c r="I31" s="2"/>
      <c r="J31" s="2"/>
      <c r="K31" s="2" t="s">
        <v>19</v>
      </c>
      <c r="L31" s="2"/>
    </row>
    <row r="32" spans="1:12" ht="52" x14ac:dyDescent="0.2">
      <c r="A32" s="2" t="s">
        <v>12</v>
      </c>
      <c r="B32" s="2" t="s">
        <v>77</v>
      </c>
      <c r="C32" s="2" t="s">
        <v>82</v>
      </c>
      <c r="D32" s="2" t="s">
        <v>83</v>
      </c>
      <c r="E32" s="3" t="s">
        <v>16</v>
      </c>
      <c r="F32" s="4" t="s">
        <v>17</v>
      </c>
      <c r="G32" s="2" t="s">
        <v>17</v>
      </c>
      <c r="H32" s="5" t="s">
        <v>18</v>
      </c>
      <c r="I32" s="2"/>
      <c r="J32" s="2"/>
      <c r="K32" s="2" t="s">
        <v>19</v>
      </c>
      <c r="L32" s="2"/>
    </row>
    <row r="33" spans="1:12" ht="39" x14ac:dyDescent="0.2">
      <c r="A33" s="2" t="s">
        <v>12</v>
      </c>
      <c r="B33" s="2" t="s">
        <v>77</v>
      </c>
      <c r="C33" s="2" t="s">
        <v>84</v>
      </c>
      <c r="D33" s="2" t="s">
        <v>85</v>
      </c>
      <c r="E33" s="3" t="s">
        <v>16</v>
      </c>
      <c r="F33" s="4" t="s">
        <v>17</v>
      </c>
      <c r="G33" s="2" t="s">
        <v>17</v>
      </c>
      <c r="H33" s="5" t="s">
        <v>18</v>
      </c>
      <c r="I33" s="2"/>
      <c r="J33" s="2"/>
      <c r="K33" s="2" t="s">
        <v>19</v>
      </c>
      <c r="L33" s="2"/>
    </row>
    <row r="34" spans="1:12" ht="39" x14ac:dyDescent="0.2">
      <c r="A34" s="2" t="s">
        <v>12</v>
      </c>
      <c r="B34" s="2" t="s">
        <v>77</v>
      </c>
      <c r="C34" s="2" t="s">
        <v>86</v>
      </c>
      <c r="D34" s="2" t="s">
        <v>87</v>
      </c>
      <c r="E34" s="3" t="s">
        <v>16</v>
      </c>
      <c r="F34" s="4" t="s">
        <v>17</v>
      </c>
      <c r="G34" s="2" t="s">
        <v>17</v>
      </c>
      <c r="H34" s="5" t="s">
        <v>18</v>
      </c>
      <c r="I34" s="2"/>
      <c r="J34" s="2"/>
      <c r="K34" s="2" t="s">
        <v>19</v>
      </c>
      <c r="L34" s="2"/>
    </row>
    <row r="35" spans="1:12" ht="39" x14ac:dyDescent="0.2">
      <c r="A35" s="2" t="s">
        <v>12</v>
      </c>
      <c r="B35" s="2" t="s">
        <v>77</v>
      </c>
      <c r="C35" s="2" t="s">
        <v>88</v>
      </c>
      <c r="D35" s="2" t="s">
        <v>89</v>
      </c>
      <c r="E35" s="3" t="s">
        <v>16</v>
      </c>
      <c r="F35" s="4" t="s">
        <v>17</v>
      </c>
      <c r="G35" s="2" t="s">
        <v>17</v>
      </c>
      <c r="H35" s="5" t="s">
        <v>18</v>
      </c>
      <c r="I35" s="2"/>
      <c r="J35" s="2"/>
      <c r="K35" s="2" t="s">
        <v>19</v>
      </c>
      <c r="L35" s="2"/>
    </row>
    <row r="36" spans="1:12" ht="39" x14ac:dyDescent="0.2">
      <c r="A36" s="2" t="s">
        <v>12</v>
      </c>
      <c r="B36" s="2" t="s">
        <v>77</v>
      </c>
      <c r="C36" s="2" t="s">
        <v>90</v>
      </c>
      <c r="D36" s="2" t="s">
        <v>91</v>
      </c>
      <c r="E36" s="3" t="s">
        <v>16</v>
      </c>
      <c r="F36" s="4" t="s">
        <v>17</v>
      </c>
      <c r="G36" s="2" t="s">
        <v>17</v>
      </c>
      <c r="H36" s="5" t="s">
        <v>18</v>
      </c>
      <c r="I36" s="2"/>
      <c r="J36" s="2"/>
      <c r="K36" s="2" t="s">
        <v>19</v>
      </c>
      <c r="L36" s="2"/>
    </row>
    <row r="37" spans="1:12" ht="39" x14ac:dyDescent="0.2">
      <c r="A37" s="2" t="s">
        <v>12</v>
      </c>
      <c r="B37" s="2" t="s">
        <v>77</v>
      </c>
      <c r="C37" s="2" t="s">
        <v>92</v>
      </c>
      <c r="D37" s="2" t="s">
        <v>93</v>
      </c>
      <c r="E37" s="3" t="s">
        <v>16</v>
      </c>
      <c r="F37" s="4" t="s">
        <v>17</v>
      </c>
      <c r="G37" s="2" t="s">
        <v>17</v>
      </c>
      <c r="H37" s="5" t="s">
        <v>18</v>
      </c>
      <c r="I37" s="2"/>
      <c r="J37" s="2"/>
      <c r="K37" s="2" t="s">
        <v>19</v>
      </c>
      <c r="L37" s="2"/>
    </row>
    <row r="38" spans="1:12" ht="39" x14ac:dyDescent="0.2">
      <c r="A38" s="2" t="s">
        <v>12</v>
      </c>
      <c r="B38" s="2" t="s">
        <v>77</v>
      </c>
      <c r="C38" s="2" t="s">
        <v>94</v>
      </c>
      <c r="D38" s="2" t="s">
        <v>95</v>
      </c>
      <c r="E38" s="3" t="s">
        <v>16</v>
      </c>
      <c r="F38" s="4" t="s">
        <v>17</v>
      </c>
      <c r="G38" s="2" t="s">
        <v>17</v>
      </c>
      <c r="H38" s="5" t="s">
        <v>18</v>
      </c>
      <c r="I38" s="2"/>
      <c r="J38" s="2"/>
      <c r="K38" s="2" t="s">
        <v>19</v>
      </c>
      <c r="L38" s="2"/>
    </row>
    <row r="39" spans="1:12" ht="26" x14ac:dyDescent="0.2">
      <c r="A39" s="2" t="s">
        <v>12</v>
      </c>
      <c r="B39" s="2" t="s">
        <v>96</v>
      </c>
      <c r="C39" s="2" t="s">
        <v>97</v>
      </c>
      <c r="D39" s="2" t="s">
        <v>98</v>
      </c>
      <c r="E39" s="3" t="s">
        <v>16</v>
      </c>
      <c r="F39" s="4" t="s">
        <v>17</v>
      </c>
      <c r="G39" s="2" t="s">
        <v>17</v>
      </c>
      <c r="H39" s="5" t="s">
        <v>18</v>
      </c>
      <c r="I39" s="2"/>
      <c r="J39" s="2"/>
      <c r="K39" s="2" t="s">
        <v>19</v>
      </c>
      <c r="L39" s="2"/>
    </row>
    <row r="40" spans="1:12" ht="39" x14ac:dyDescent="0.2">
      <c r="A40" s="2" t="s">
        <v>12</v>
      </c>
      <c r="B40" s="2" t="s">
        <v>96</v>
      </c>
      <c r="C40" s="2" t="s">
        <v>99</v>
      </c>
      <c r="D40" s="2" t="s">
        <v>100</v>
      </c>
      <c r="E40" s="3" t="s">
        <v>16</v>
      </c>
      <c r="F40" s="4" t="s">
        <v>17</v>
      </c>
      <c r="G40" s="2" t="s">
        <v>17</v>
      </c>
      <c r="H40" s="5" t="s">
        <v>18</v>
      </c>
      <c r="I40" s="2"/>
      <c r="J40" s="2"/>
      <c r="K40" s="2" t="s">
        <v>19</v>
      </c>
      <c r="L40" s="2"/>
    </row>
    <row r="41" spans="1:12" ht="65" x14ac:dyDescent="0.2">
      <c r="A41" s="2" t="s">
        <v>12</v>
      </c>
      <c r="B41" s="2" t="s">
        <v>96</v>
      </c>
      <c r="C41" s="2" t="s">
        <v>101</v>
      </c>
      <c r="D41" s="2" t="s">
        <v>102</v>
      </c>
      <c r="E41" s="3" t="s">
        <v>16</v>
      </c>
      <c r="F41" s="4" t="s">
        <v>17</v>
      </c>
      <c r="G41" s="2" t="s">
        <v>17</v>
      </c>
      <c r="H41" s="5" t="s">
        <v>18</v>
      </c>
      <c r="I41" s="2"/>
      <c r="J41" s="2"/>
      <c r="K41" s="2" t="s">
        <v>19</v>
      </c>
      <c r="L41" s="2"/>
    </row>
    <row r="42" spans="1:12" ht="39" x14ac:dyDescent="0.2">
      <c r="A42" s="2" t="s">
        <v>12</v>
      </c>
      <c r="B42" s="2" t="s">
        <v>96</v>
      </c>
      <c r="C42" s="2" t="s">
        <v>103</v>
      </c>
      <c r="D42" s="2" t="s">
        <v>104</v>
      </c>
      <c r="E42" s="3" t="s">
        <v>16</v>
      </c>
      <c r="F42" s="4" t="s">
        <v>17</v>
      </c>
      <c r="G42" s="2" t="s">
        <v>17</v>
      </c>
      <c r="H42" s="5" t="s">
        <v>18</v>
      </c>
      <c r="I42" s="2"/>
      <c r="J42" s="2"/>
      <c r="K42" s="2" t="s">
        <v>19</v>
      </c>
      <c r="L42" s="2"/>
    </row>
    <row r="43" spans="1:12" ht="26" x14ac:dyDescent="0.2">
      <c r="A43" s="2" t="s">
        <v>12</v>
      </c>
      <c r="B43" s="2" t="s">
        <v>96</v>
      </c>
      <c r="C43" s="2" t="s">
        <v>105</v>
      </c>
      <c r="D43" s="2" t="s">
        <v>106</v>
      </c>
      <c r="E43" s="3" t="s">
        <v>16</v>
      </c>
      <c r="F43" s="4" t="s">
        <v>17</v>
      </c>
      <c r="G43" s="2" t="s">
        <v>17</v>
      </c>
      <c r="H43" s="5" t="s">
        <v>18</v>
      </c>
      <c r="I43" s="2"/>
      <c r="J43" s="2"/>
      <c r="K43" s="2" t="s">
        <v>19</v>
      </c>
      <c r="L43" s="2"/>
    </row>
    <row r="44" spans="1:12" ht="39" x14ac:dyDescent="0.2">
      <c r="A44" s="2" t="s">
        <v>12</v>
      </c>
      <c r="B44" s="2" t="s">
        <v>96</v>
      </c>
      <c r="C44" s="2" t="s">
        <v>107</v>
      </c>
      <c r="D44" s="2" t="s">
        <v>108</v>
      </c>
      <c r="E44" s="3" t="s">
        <v>16</v>
      </c>
      <c r="F44" s="4" t="s">
        <v>17</v>
      </c>
      <c r="G44" s="2" t="s">
        <v>17</v>
      </c>
      <c r="H44" s="5" t="s">
        <v>18</v>
      </c>
      <c r="I44" s="2"/>
      <c r="J44" s="2"/>
      <c r="K44" s="2" t="s">
        <v>19</v>
      </c>
      <c r="L44" s="2"/>
    </row>
    <row r="45" spans="1:12" ht="26" x14ac:dyDescent="0.2">
      <c r="A45" s="2" t="s">
        <v>12</v>
      </c>
      <c r="B45" s="2" t="s">
        <v>96</v>
      </c>
      <c r="C45" s="2" t="s">
        <v>109</v>
      </c>
      <c r="D45" s="2" t="s">
        <v>110</v>
      </c>
      <c r="E45" s="3" t="s">
        <v>16</v>
      </c>
      <c r="F45" s="4" t="s">
        <v>17</v>
      </c>
      <c r="G45" s="2" t="s">
        <v>17</v>
      </c>
      <c r="H45" s="5" t="s">
        <v>18</v>
      </c>
      <c r="I45" s="2"/>
      <c r="J45" s="2"/>
      <c r="K45" s="2" t="s">
        <v>19</v>
      </c>
      <c r="L45" s="2"/>
    </row>
    <row r="46" spans="1:12" ht="39" x14ac:dyDescent="0.2">
      <c r="A46" s="2" t="s">
        <v>12</v>
      </c>
      <c r="B46" s="2" t="s">
        <v>96</v>
      </c>
      <c r="C46" s="2" t="s">
        <v>111</v>
      </c>
      <c r="D46" s="2" t="s">
        <v>112</v>
      </c>
      <c r="E46" s="3" t="s">
        <v>16</v>
      </c>
      <c r="F46" s="4" t="s">
        <v>17</v>
      </c>
      <c r="G46" s="2" t="s">
        <v>17</v>
      </c>
      <c r="H46" s="5" t="s">
        <v>18</v>
      </c>
      <c r="I46" s="2"/>
      <c r="J46" s="2"/>
      <c r="K46" s="2" t="s">
        <v>19</v>
      </c>
      <c r="L46" s="2"/>
    </row>
    <row r="47" spans="1:12" ht="52" x14ac:dyDescent="0.2">
      <c r="A47" s="2" t="s">
        <v>12</v>
      </c>
      <c r="B47" s="2" t="s">
        <v>113</v>
      </c>
      <c r="C47" s="2" t="s">
        <v>114</v>
      </c>
      <c r="D47" s="2" t="s">
        <v>115</v>
      </c>
      <c r="E47" s="3" t="s">
        <v>16</v>
      </c>
      <c r="F47" s="4" t="s">
        <v>17</v>
      </c>
      <c r="G47" s="2" t="s">
        <v>17</v>
      </c>
      <c r="H47" s="5" t="s">
        <v>18</v>
      </c>
      <c r="I47" s="2"/>
      <c r="J47" s="2"/>
      <c r="K47" s="2" t="s">
        <v>19</v>
      </c>
      <c r="L47" s="2"/>
    </row>
    <row r="48" spans="1:12" ht="39" x14ac:dyDescent="0.2">
      <c r="A48" s="2" t="s">
        <v>12</v>
      </c>
      <c r="B48" s="2" t="s">
        <v>113</v>
      </c>
      <c r="C48" s="2" t="s">
        <v>116</v>
      </c>
      <c r="D48" s="2" t="s">
        <v>117</v>
      </c>
      <c r="E48" s="3" t="s">
        <v>16</v>
      </c>
      <c r="F48" s="4" t="s">
        <v>17</v>
      </c>
      <c r="G48" s="2" t="s">
        <v>17</v>
      </c>
      <c r="H48" s="5" t="s">
        <v>18</v>
      </c>
      <c r="I48" s="2"/>
      <c r="J48" s="2"/>
      <c r="K48" s="2" t="s">
        <v>19</v>
      </c>
      <c r="L48" s="2"/>
    </row>
    <row r="49" spans="1:12" ht="78" x14ac:dyDescent="0.2">
      <c r="A49" s="2" t="s">
        <v>12</v>
      </c>
      <c r="B49" s="2" t="s">
        <v>113</v>
      </c>
      <c r="C49" s="2" t="s">
        <v>118</v>
      </c>
      <c r="D49" s="28" t="s">
        <v>119</v>
      </c>
      <c r="E49" s="3" t="s">
        <v>16</v>
      </c>
      <c r="F49" s="4" t="s">
        <v>17</v>
      </c>
      <c r="G49" s="2" t="s">
        <v>17</v>
      </c>
      <c r="H49" s="5" t="s">
        <v>2398</v>
      </c>
      <c r="I49" s="27" t="s">
        <v>2445</v>
      </c>
      <c r="J49" s="2" t="s">
        <v>2446</v>
      </c>
      <c r="K49" s="2" t="s">
        <v>19</v>
      </c>
      <c r="L49" s="2"/>
    </row>
    <row r="50" spans="1:12" ht="39" x14ac:dyDescent="0.2">
      <c r="A50" s="2" t="s">
        <v>12</v>
      </c>
      <c r="B50" s="2" t="s">
        <v>113</v>
      </c>
      <c r="C50" s="2" t="s">
        <v>120</v>
      </c>
      <c r="D50" s="2" t="s">
        <v>121</v>
      </c>
      <c r="E50" s="3" t="s">
        <v>16</v>
      </c>
      <c r="F50" s="4" t="s">
        <v>17</v>
      </c>
      <c r="G50" s="2" t="s">
        <v>17</v>
      </c>
      <c r="H50" s="5" t="s">
        <v>18</v>
      </c>
      <c r="I50" s="2"/>
      <c r="J50" s="2"/>
      <c r="K50" s="2" t="s">
        <v>19</v>
      </c>
      <c r="L50" s="2"/>
    </row>
    <row r="51" spans="1:12" ht="39" x14ac:dyDescent="0.2">
      <c r="A51" s="2" t="s">
        <v>12</v>
      </c>
      <c r="B51" s="2" t="s">
        <v>113</v>
      </c>
      <c r="C51" s="2" t="s">
        <v>122</v>
      </c>
      <c r="D51" s="2" t="s">
        <v>123</v>
      </c>
      <c r="E51" s="3" t="s">
        <v>16</v>
      </c>
      <c r="F51" s="4" t="s">
        <v>17</v>
      </c>
      <c r="G51" s="2" t="s">
        <v>17</v>
      </c>
      <c r="H51" s="5" t="s">
        <v>18</v>
      </c>
      <c r="I51" s="2"/>
      <c r="J51" s="2"/>
      <c r="K51" s="2" t="s">
        <v>19</v>
      </c>
      <c r="L51" s="2"/>
    </row>
    <row r="52" spans="1:12" ht="39" x14ac:dyDescent="0.2">
      <c r="A52" s="2" t="s">
        <v>12</v>
      </c>
      <c r="B52" s="2" t="s">
        <v>113</v>
      </c>
      <c r="C52" s="2" t="s">
        <v>124</v>
      </c>
      <c r="D52" s="2" t="s">
        <v>125</v>
      </c>
      <c r="E52" s="3" t="s">
        <v>16</v>
      </c>
      <c r="F52" s="4" t="s">
        <v>17</v>
      </c>
      <c r="G52" s="2" t="s">
        <v>17</v>
      </c>
      <c r="H52" s="5" t="s">
        <v>18</v>
      </c>
      <c r="I52" s="2"/>
      <c r="J52" s="2"/>
      <c r="K52" s="2" t="s">
        <v>19</v>
      </c>
      <c r="L52" s="2"/>
    </row>
    <row r="53" spans="1:12" ht="26" x14ac:dyDescent="0.2">
      <c r="A53" s="2" t="s">
        <v>12</v>
      </c>
      <c r="B53" s="2" t="s">
        <v>113</v>
      </c>
      <c r="C53" s="2" t="s">
        <v>126</v>
      </c>
      <c r="D53" s="2" t="s">
        <v>127</v>
      </c>
      <c r="E53" s="3" t="s">
        <v>16</v>
      </c>
      <c r="F53" s="4" t="s">
        <v>17</v>
      </c>
      <c r="G53" s="2" t="s">
        <v>17</v>
      </c>
      <c r="H53" s="5" t="s">
        <v>18</v>
      </c>
      <c r="I53" s="2"/>
      <c r="J53" s="2"/>
      <c r="K53" s="2" t="s">
        <v>19</v>
      </c>
      <c r="L53" s="2"/>
    </row>
    <row r="54" spans="1:12" ht="26" x14ac:dyDescent="0.2">
      <c r="A54" s="2" t="s">
        <v>12</v>
      </c>
      <c r="B54" s="2" t="s">
        <v>113</v>
      </c>
      <c r="C54" s="2" t="s">
        <v>128</v>
      </c>
      <c r="D54" s="2" t="s">
        <v>129</v>
      </c>
      <c r="E54" s="3" t="s">
        <v>16</v>
      </c>
      <c r="F54" s="4" t="s">
        <v>17</v>
      </c>
      <c r="G54" s="2" t="s">
        <v>17</v>
      </c>
      <c r="H54" s="5" t="s">
        <v>18</v>
      </c>
      <c r="I54" s="2"/>
      <c r="J54" s="2"/>
      <c r="K54" s="2" t="s">
        <v>19</v>
      </c>
      <c r="L54" s="2"/>
    </row>
    <row r="55" spans="1:12" ht="39" x14ac:dyDescent="0.2">
      <c r="A55" s="2" t="s">
        <v>12</v>
      </c>
      <c r="B55" s="2" t="s">
        <v>113</v>
      </c>
      <c r="C55" s="2" t="s">
        <v>130</v>
      </c>
      <c r="D55" s="2" t="s">
        <v>131</v>
      </c>
      <c r="E55" s="3" t="s">
        <v>16</v>
      </c>
      <c r="F55" s="4" t="s">
        <v>17</v>
      </c>
      <c r="G55" s="2" t="s">
        <v>17</v>
      </c>
      <c r="H55" s="5" t="s">
        <v>18</v>
      </c>
      <c r="I55" s="2"/>
      <c r="J55" s="2"/>
      <c r="K55" s="2" t="s">
        <v>19</v>
      </c>
      <c r="L55" s="2"/>
    </row>
    <row r="56" spans="1:12" ht="52" x14ac:dyDescent="0.2">
      <c r="A56" s="2" t="s">
        <v>12</v>
      </c>
      <c r="B56" s="2" t="s">
        <v>113</v>
      </c>
      <c r="C56" s="2" t="s">
        <v>132</v>
      </c>
      <c r="D56" s="2" t="s">
        <v>133</v>
      </c>
      <c r="E56" s="3" t="s">
        <v>16</v>
      </c>
      <c r="F56" s="4" t="s">
        <v>17</v>
      </c>
      <c r="G56" s="2" t="s">
        <v>17</v>
      </c>
      <c r="H56" s="5" t="s">
        <v>18</v>
      </c>
      <c r="I56" s="2"/>
      <c r="J56" s="2"/>
      <c r="K56" s="2" t="s">
        <v>19</v>
      </c>
      <c r="L56" s="2"/>
    </row>
    <row r="57" spans="1:12" ht="39" x14ac:dyDescent="0.2">
      <c r="A57" s="2" t="s">
        <v>12</v>
      </c>
      <c r="B57" s="2" t="s">
        <v>113</v>
      </c>
      <c r="C57" s="2" t="s">
        <v>134</v>
      </c>
      <c r="D57" s="2" t="s">
        <v>135</v>
      </c>
      <c r="E57" s="3" t="s">
        <v>16</v>
      </c>
      <c r="F57" s="4" t="s">
        <v>17</v>
      </c>
      <c r="G57" s="2" t="s">
        <v>17</v>
      </c>
      <c r="H57" s="5" t="s">
        <v>18</v>
      </c>
      <c r="I57" s="2"/>
      <c r="J57" s="2"/>
      <c r="K57" s="2" t="s">
        <v>19</v>
      </c>
      <c r="L57" s="2"/>
    </row>
    <row r="58" spans="1:12" ht="52" x14ac:dyDescent="0.2">
      <c r="A58" s="2" t="s">
        <v>12</v>
      </c>
      <c r="B58" s="2" t="s">
        <v>113</v>
      </c>
      <c r="C58" s="2" t="s">
        <v>136</v>
      </c>
      <c r="D58" s="2" t="s">
        <v>137</v>
      </c>
      <c r="E58" s="3" t="s">
        <v>16</v>
      </c>
      <c r="F58" s="4" t="s">
        <v>17</v>
      </c>
      <c r="G58" s="2" t="s">
        <v>17</v>
      </c>
      <c r="H58" s="5" t="s">
        <v>18</v>
      </c>
      <c r="I58" s="2"/>
      <c r="J58" s="2"/>
      <c r="K58" s="2" t="s">
        <v>19</v>
      </c>
      <c r="L58" s="2"/>
    </row>
    <row r="59" spans="1:12" ht="78" x14ac:dyDescent="0.2">
      <c r="A59" s="2" t="s">
        <v>12</v>
      </c>
      <c r="B59" s="2" t="s">
        <v>138</v>
      </c>
      <c r="C59" s="2" t="s">
        <v>139</v>
      </c>
      <c r="D59" s="2" t="s">
        <v>140</v>
      </c>
      <c r="E59" s="3" t="s">
        <v>16</v>
      </c>
      <c r="F59" s="4" t="s">
        <v>17</v>
      </c>
      <c r="G59" s="2" t="s">
        <v>17</v>
      </c>
      <c r="H59" s="5" t="s">
        <v>18</v>
      </c>
      <c r="I59" s="2"/>
      <c r="J59" s="2"/>
      <c r="K59" s="2" t="s">
        <v>19</v>
      </c>
      <c r="L59" s="2"/>
    </row>
    <row r="60" spans="1:12" ht="39" x14ac:dyDescent="0.2">
      <c r="A60" s="2" t="s">
        <v>12</v>
      </c>
      <c r="B60" s="2" t="s">
        <v>138</v>
      </c>
      <c r="C60" s="2" t="s">
        <v>141</v>
      </c>
      <c r="D60" s="2" t="s">
        <v>142</v>
      </c>
      <c r="E60" s="3" t="s">
        <v>16</v>
      </c>
      <c r="F60" s="4" t="s">
        <v>17</v>
      </c>
      <c r="G60" s="2" t="s">
        <v>17</v>
      </c>
      <c r="H60" s="5" t="s">
        <v>18</v>
      </c>
      <c r="I60" s="2"/>
      <c r="J60" s="2"/>
      <c r="K60" s="2" t="s">
        <v>19</v>
      </c>
      <c r="L60" s="2"/>
    </row>
    <row r="61" spans="1:12" ht="26" x14ac:dyDescent="0.2">
      <c r="A61" s="2" t="s">
        <v>12</v>
      </c>
      <c r="B61" s="2" t="s">
        <v>138</v>
      </c>
      <c r="C61" s="2" t="s">
        <v>143</v>
      </c>
      <c r="D61" s="2" t="s">
        <v>144</v>
      </c>
      <c r="E61" s="3" t="s">
        <v>16</v>
      </c>
      <c r="F61" s="4" t="s">
        <v>17</v>
      </c>
      <c r="G61" s="2" t="s">
        <v>17</v>
      </c>
      <c r="H61" s="5" t="s">
        <v>18</v>
      </c>
      <c r="I61" s="2"/>
      <c r="J61" s="2"/>
      <c r="K61" s="2" t="s">
        <v>19</v>
      </c>
      <c r="L61" s="2"/>
    </row>
    <row r="62" spans="1:12" ht="39" x14ac:dyDescent="0.2">
      <c r="A62" s="2" t="s">
        <v>12</v>
      </c>
      <c r="B62" s="2" t="s">
        <v>138</v>
      </c>
      <c r="C62" s="2" t="s">
        <v>145</v>
      </c>
      <c r="D62" s="2" t="s">
        <v>146</v>
      </c>
      <c r="E62" s="3" t="s">
        <v>16</v>
      </c>
      <c r="F62" s="4" t="s">
        <v>17</v>
      </c>
      <c r="G62" s="2" t="s">
        <v>17</v>
      </c>
      <c r="H62" s="5" t="s">
        <v>18</v>
      </c>
      <c r="I62" s="2"/>
      <c r="J62" s="2"/>
      <c r="K62" s="2" t="s">
        <v>19</v>
      </c>
      <c r="L62" s="2"/>
    </row>
    <row r="63" spans="1:12" ht="39" x14ac:dyDescent="0.2">
      <c r="A63" s="2" t="s">
        <v>12</v>
      </c>
      <c r="B63" s="2" t="s">
        <v>138</v>
      </c>
      <c r="C63" s="2" t="s">
        <v>147</v>
      </c>
      <c r="D63" s="2" t="s">
        <v>148</v>
      </c>
      <c r="E63" s="3" t="s">
        <v>16</v>
      </c>
      <c r="F63" s="4" t="s">
        <v>17</v>
      </c>
      <c r="G63" s="2" t="s">
        <v>17</v>
      </c>
      <c r="H63" s="5" t="s">
        <v>18</v>
      </c>
      <c r="I63" s="2"/>
      <c r="J63" s="2"/>
      <c r="K63" s="2" t="s">
        <v>19</v>
      </c>
      <c r="L63" s="2"/>
    </row>
    <row r="64" spans="1:12" ht="26" x14ac:dyDescent="0.2">
      <c r="A64" s="2" t="s">
        <v>12</v>
      </c>
      <c r="B64" s="2" t="s">
        <v>138</v>
      </c>
      <c r="C64" s="2" t="s">
        <v>149</v>
      </c>
      <c r="D64" s="2" t="s">
        <v>150</v>
      </c>
      <c r="E64" s="3" t="s">
        <v>16</v>
      </c>
      <c r="F64" s="4" t="s">
        <v>17</v>
      </c>
      <c r="G64" s="2" t="s">
        <v>17</v>
      </c>
      <c r="H64" s="5" t="s">
        <v>18</v>
      </c>
      <c r="I64" s="2"/>
      <c r="J64" s="2"/>
      <c r="K64" s="2" t="s">
        <v>19</v>
      </c>
      <c r="L64" s="2"/>
    </row>
    <row r="65" spans="1:12" ht="39" x14ac:dyDescent="0.2">
      <c r="A65" s="2" t="s">
        <v>12</v>
      </c>
      <c r="B65" s="2" t="s">
        <v>138</v>
      </c>
      <c r="C65" s="2" t="s">
        <v>151</v>
      </c>
      <c r="D65" s="2" t="s">
        <v>152</v>
      </c>
      <c r="E65" s="3" t="s">
        <v>16</v>
      </c>
      <c r="F65" s="4" t="s">
        <v>17</v>
      </c>
      <c r="G65" s="2" t="s">
        <v>17</v>
      </c>
      <c r="H65" s="5" t="s">
        <v>18</v>
      </c>
      <c r="I65" s="2"/>
      <c r="J65" s="2"/>
      <c r="K65" s="2" t="s">
        <v>19</v>
      </c>
      <c r="L65" s="2"/>
    </row>
    <row r="66" spans="1:12" ht="52" x14ac:dyDescent="0.2">
      <c r="A66" s="2" t="s">
        <v>12</v>
      </c>
      <c r="B66" s="2" t="s">
        <v>138</v>
      </c>
      <c r="C66" s="2" t="s">
        <v>153</v>
      </c>
      <c r="D66" s="2" t="s">
        <v>154</v>
      </c>
      <c r="E66" s="3" t="s">
        <v>16</v>
      </c>
      <c r="F66" s="4" t="s">
        <v>17</v>
      </c>
      <c r="G66" s="2" t="s">
        <v>17</v>
      </c>
      <c r="H66" s="5" t="s">
        <v>18</v>
      </c>
      <c r="I66" s="2"/>
      <c r="J66" s="2"/>
      <c r="K66" s="2" t="s">
        <v>19</v>
      </c>
      <c r="L66" s="2"/>
    </row>
    <row r="67" spans="1:12" ht="26" x14ac:dyDescent="0.2">
      <c r="A67" s="2" t="s">
        <v>12</v>
      </c>
      <c r="B67" s="2" t="s">
        <v>138</v>
      </c>
      <c r="C67" s="2" t="s">
        <v>155</v>
      </c>
      <c r="D67" s="2" t="s">
        <v>156</v>
      </c>
      <c r="E67" s="3" t="s">
        <v>16</v>
      </c>
      <c r="F67" s="4" t="s">
        <v>17</v>
      </c>
      <c r="G67" s="2" t="s">
        <v>17</v>
      </c>
      <c r="H67" s="5" t="s">
        <v>18</v>
      </c>
      <c r="I67" s="2"/>
      <c r="J67" s="2"/>
      <c r="K67" s="2" t="s">
        <v>19</v>
      </c>
      <c r="L67" s="2"/>
    </row>
    <row r="68" spans="1:12" ht="26" x14ac:dyDescent="0.2">
      <c r="A68" s="2" t="s">
        <v>12</v>
      </c>
      <c r="B68" s="2" t="s">
        <v>138</v>
      </c>
      <c r="C68" s="2" t="s">
        <v>157</v>
      </c>
      <c r="D68" s="2" t="s">
        <v>158</v>
      </c>
      <c r="E68" s="3" t="s">
        <v>16</v>
      </c>
      <c r="F68" s="4" t="s">
        <v>17</v>
      </c>
      <c r="G68" s="2" t="s">
        <v>17</v>
      </c>
      <c r="H68" s="5" t="s">
        <v>18</v>
      </c>
      <c r="I68" s="2"/>
      <c r="J68" s="2"/>
      <c r="K68" s="2" t="s">
        <v>19</v>
      </c>
      <c r="L68" s="2"/>
    </row>
    <row r="69" spans="1:12" ht="78" x14ac:dyDescent="0.2">
      <c r="A69" s="2" t="s">
        <v>12</v>
      </c>
      <c r="B69" s="2" t="s">
        <v>159</v>
      </c>
      <c r="C69" s="2" t="s">
        <v>160</v>
      </c>
      <c r="D69" s="2" t="s">
        <v>161</v>
      </c>
      <c r="E69" s="3" t="s">
        <v>16</v>
      </c>
      <c r="F69" s="4" t="s">
        <v>17</v>
      </c>
      <c r="G69" s="2" t="s">
        <v>17</v>
      </c>
      <c r="H69" s="5" t="s">
        <v>18</v>
      </c>
      <c r="I69" s="2"/>
      <c r="J69" s="2"/>
      <c r="K69" s="2" t="s">
        <v>19</v>
      </c>
      <c r="L69" s="2"/>
    </row>
    <row r="70" spans="1:12" ht="78" x14ac:dyDescent="0.2">
      <c r="A70" s="2" t="s">
        <v>12</v>
      </c>
      <c r="B70" s="2" t="s">
        <v>159</v>
      </c>
      <c r="C70" s="2" t="s">
        <v>162</v>
      </c>
      <c r="D70" s="2" t="s">
        <v>163</v>
      </c>
      <c r="E70" s="3" t="s">
        <v>16</v>
      </c>
      <c r="F70" s="4" t="s">
        <v>17</v>
      </c>
      <c r="G70" s="2" t="s">
        <v>17</v>
      </c>
      <c r="H70" s="5" t="s">
        <v>18</v>
      </c>
      <c r="I70" s="2"/>
      <c r="J70" s="2"/>
      <c r="K70" s="2" t="s">
        <v>19</v>
      </c>
      <c r="L70" s="2"/>
    </row>
    <row r="71" spans="1:12" ht="78" x14ac:dyDescent="0.2">
      <c r="A71" s="2" t="s">
        <v>12</v>
      </c>
      <c r="B71" s="2" t="s">
        <v>159</v>
      </c>
      <c r="C71" s="2" t="s">
        <v>164</v>
      </c>
      <c r="D71" s="2" t="s">
        <v>165</v>
      </c>
      <c r="E71" s="3" t="s">
        <v>16</v>
      </c>
      <c r="F71" s="4" t="s">
        <v>17</v>
      </c>
      <c r="G71" s="2" t="s">
        <v>17</v>
      </c>
      <c r="H71" s="5" t="s">
        <v>18</v>
      </c>
      <c r="I71" s="2"/>
      <c r="J71" s="2"/>
      <c r="K71" s="2" t="s">
        <v>19</v>
      </c>
      <c r="L71" s="2"/>
    </row>
    <row r="72" spans="1:12" ht="39" x14ac:dyDescent="0.2">
      <c r="A72" s="2" t="s">
        <v>12</v>
      </c>
      <c r="B72" s="2" t="s">
        <v>159</v>
      </c>
      <c r="C72" s="2" t="s">
        <v>166</v>
      </c>
      <c r="D72" s="2" t="s">
        <v>167</v>
      </c>
      <c r="E72" s="3" t="s">
        <v>16</v>
      </c>
      <c r="F72" s="4" t="s">
        <v>17</v>
      </c>
      <c r="G72" s="2" t="s">
        <v>17</v>
      </c>
      <c r="H72" s="5" t="s">
        <v>18</v>
      </c>
      <c r="I72" s="2"/>
      <c r="J72" s="2"/>
      <c r="K72" s="2" t="s">
        <v>19</v>
      </c>
      <c r="L72" s="2"/>
    </row>
    <row r="73" spans="1:12" ht="39" x14ac:dyDescent="0.2">
      <c r="A73" s="2" t="s">
        <v>12</v>
      </c>
      <c r="B73" s="2" t="s">
        <v>159</v>
      </c>
      <c r="C73" s="2" t="s">
        <v>168</v>
      </c>
      <c r="D73" s="2" t="s">
        <v>169</v>
      </c>
      <c r="E73" s="3" t="s">
        <v>16</v>
      </c>
      <c r="F73" s="4" t="s">
        <v>17</v>
      </c>
      <c r="G73" s="2" t="s">
        <v>17</v>
      </c>
      <c r="H73" s="5" t="s">
        <v>18</v>
      </c>
      <c r="I73" s="2"/>
      <c r="J73" s="2"/>
      <c r="K73" s="2" t="s">
        <v>19</v>
      </c>
      <c r="L73" s="2"/>
    </row>
    <row r="74" spans="1:12" ht="39" x14ac:dyDescent="0.2">
      <c r="A74" s="2" t="s">
        <v>12</v>
      </c>
      <c r="B74" s="2" t="s">
        <v>170</v>
      </c>
      <c r="C74" s="2" t="s">
        <v>171</v>
      </c>
      <c r="D74" s="2" t="s">
        <v>172</v>
      </c>
      <c r="E74" s="3" t="s">
        <v>16</v>
      </c>
      <c r="F74" s="4" t="s">
        <v>17</v>
      </c>
      <c r="G74" s="2" t="s">
        <v>17</v>
      </c>
      <c r="H74" s="5" t="s">
        <v>18</v>
      </c>
      <c r="I74" s="2"/>
      <c r="J74" s="2"/>
      <c r="K74" s="2" t="s">
        <v>19</v>
      </c>
      <c r="L74" s="2"/>
    </row>
    <row r="75" spans="1:12" ht="52" x14ac:dyDescent="0.2">
      <c r="A75" s="2" t="s">
        <v>12</v>
      </c>
      <c r="B75" s="2" t="s">
        <v>170</v>
      </c>
      <c r="C75" s="2" t="s">
        <v>173</v>
      </c>
      <c r="D75" s="2" t="s">
        <v>174</v>
      </c>
      <c r="E75" s="3" t="s">
        <v>16</v>
      </c>
      <c r="F75" s="4" t="s">
        <v>17</v>
      </c>
      <c r="G75" s="2" t="s">
        <v>17</v>
      </c>
      <c r="H75" s="5" t="s">
        <v>18</v>
      </c>
      <c r="I75" s="2"/>
      <c r="J75" s="2"/>
      <c r="K75" s="2" t="s">
        <v>19</v>
      </c>
      <c r="L75" s="2"/>
    </row>
    <row r="76" spans="1:12" ht="26" x14ac:dyDescent="0.2">
      <c r="A76" s="2" t="s">
        <v>12</v>
      </c>
      <c r="B76" s="2" t="s">
        <v>170</v>
      </c>
      <c r="C76" s="2" t="s">
        <v>175</v>
      </c>
      <c r="D76" s="2" t="s">
        <v>176</v>
      </c>
      <c r="E76" s="3" t="s">
        <v>16</v>
      </c>
      <c r="F76" s="4" t="s">
        <v>17</v>
      </c>
      <c r="G76" s="2" t="s">
        <v>17</v>
      </c>
      <c r="H76" s="5" t="s">
        <v>18</v>
      </c>
      <c r="I76" s="2"/>
      <c r="J76" s="2"/>
      <c r="K76" s="2" t="s">
        <v>19</v>
      </c>
      <c r="L76" s="2"/>
    </row>
    <row r="77" spans="1:12" ht="52" x14ac:dyDescent="0.2">
      <c r="A77" s="2" t="s">
        <v>12</v>
      </c>
      <c r="B77" s="2" t="s">
        <v>170</v>
      </c>
      <c r="C77" s="2" t="s">
        <v>177</v>
      </c>
      <c r="D77" s="2" t="s">
        <v>178</v>
      </c>
      <c r="E77" s="3" t="s">
        <v>16</v>
      </c>
      <c r="F77" s="4" t="s">
        <v>17</v>
      </c>
      <c r="G77" s="2" t="s">
        <v>17</v>
      </c>
      <c r="H77" s="5" t="s">
        <v>18</v>
      </c>
      <c r="I77" s="2"/>
      <c r="J77" s="2"/>
      <c r="K77" s="2" t="s">
        <v>19</v>
      </c>
      <c r="L77" s="2"/>
    </row>
    <row r="78" spans="1:12" ht="39" x14ac:dyDescent="0.2">
      <c r="A78" s="2" t="s">
        <v>12</v>
      </c>
      <c r="B78" s="2" t="s">
        <v>170</v>
      </c>
      <c r="C78" s="2" t="s">
        <v>179</v>
      </c>
      <c r="D78" s="2" t="s">
        <v>180</v>
      </c>
      <c r="E78" s="3" t="s">
        <v>16</v>
      </c>
      <c r="F78" s="4" t="s">
        <v>17</v>
      </c>
      <c r="G78" s="2" t="s">
        <v>17</v>
      </c>
      <c r="H78" s="5" t="s">
        <v>18</v>
      </c>
      <c r="I78" s="2"/>
      <c r="J78" s="2"/>
      <c r="K78" s="2" t="s">
        <v>19</v>
      </c>
      <c r="L78" s="2"/>
    </row>
    <row r="79" spans="1:12" ht="78" x14ac:dyDescent="0.2">
      <c r="A79" s="2" t="s">
        <v>12</v>
      </c>
      <c r="B79" s="2" t="s">
        <v>170</v>
      </c>
      <c r="C79" s="2" t="s">
        <v>181</v>
      </c>
      <c r="D79" s="2" t="s">
        <v>182</v>
      </c>
      <c r="E79" s="3" t="s">
        <v>16</v>
      </c>
      <c r="F79" s="4" t="s">
        <v>17</v>
      </c>
      <c r="G79" s="2" t="s">
        <v>17</v>
      </c>
      <c r="H79" s="5" t="s">
        <v>18</v>
      </c>
      <c r="I79" s="2"/>
      <c r="J79" s="2"/>
      <c r="K79" s="2" t="s">
        <v>19</v>
      </c>
      <c r="L79" s="2"/>
    </row>
    <row r="80" spans="1:12" ht="52" x14ac:dyDescent="0.2">
      <c r="A80" s="2" t="s">
        <v>12</v>
      </c>
      <c r="B80" s="2" t="s">
        <v>170</v>
      </c>
      <c r="C80" s="2" t="s">
        <v>183</v>
      </c>
      <c r="D80" s="2" t="s">
        <v>184</v>
      </c>
      <c r="E80" s="3" t="s">
        <v>16</v>
      </c>
      <c r="F80" s="4" t="s">
        <v>17</v>
      </c>
      <c r="G80" s="2" t="s">
        <v>17</v>
      </c>
      <c r="H80" s="5" t="s">
        <v>18</v>
      </c>
      <c r="I80" s="2"/>
      <c r="J80" s="2"/>
      <c r="K80" s="2" t="s">
        <v>19</v>
      </c>
      <c r="L80" s="2"/>
    </row>
    <row r="81" spans="1:12" ht="39" x14ac:dyDescent="0.2">
      <c r="A81" s="2" t="s">
        <v>12</v>
      </c>
      <c r="B81" s="2" t="s">
        <v>170</v>
      </c>
      <c r="C81" s="2" t="s">
        <v>185</v>
      </c>
      <c r="D81" s="2" t="s">
        <v>186</v>
      </c>
      <c r="E81" s="3" t="s">
        <v>16</v>
      </c>
      <c r="F81" s="4" t="s">
        <v>17</v>
      </c>
      <c r="G81" s="2" t="s">
        <v>17</v>
      </c>
      <c r="H81" s="5" t="s">
        <v>18</v>
      </c>
      <c r="I81" s="2"/>
      <c r="J81" s="2"/>
      <c r="K81" s="2" t="s">
        <v>19</v>
      </c>
      <c r="L81" s="2"/>
    </row>
    <row r="82" spans="1:12" ht="39" x14ac:dyDescent="0.2">
      <c r="A82" s="2" t="s">
        <v>12</v>
      </c>
      <c r="B82" s="2" t="s">
        <v>187</v>
      </c>
      <c r="C82" s="2" t="s">
        <v>188</v>
      </c>
      <c r="D82" s="2" t="s">
        <v>189</v>
      </c>
      <c r="E82" s="3" t="s">
        <v>16</v>
      </c>
      <c r="F82" s="4" t="s">
        <v>17</v>
      </c>
      <c r="G82" s="2" t="s">
        <v>17</v>
      </c>
      <c r="H82" s="5" t="s">
        <v>18</v>
      </c>
      <c r="I82" s="2"/>
      <c r="J82" s="2"/>
      <c r="K82" s="2" t="s">
        <v>19</v>
      </c>
      <c r="L82" s="2"/>
    </row>
    <row r="83" spans="1:12" ht="26" x14ac:dyDescent="0.2">
      <c r="A83" s="2" t="s">
        <v>12</v>
      </c>
      <c r="B83" s="2" t="s">
        <v>187</v>
      </c>
      <c r="C83" s="2" t="s">
        <v>190</v>
      </c>
      <c r="D83" s="2" t="s">
        <v>191</v>
      </c>
      <c r="E83" s="3" t="s">
        <v>16</v>
      </c>
      <c r="F83" s="4" t="s">
        <v>17</v>
      </c>
      <c r="G83" s="2" t="s">
        <v>17</v>
      </c>
      <c r="H83" s="5" t="s">
        <v>18</v>
      </c>
      <c r="I83" s="2"/>
      <c r="J83" s="2"/>
      <c r="K83" s="2" t="s">
        <v>19</v>
      </c>
      <c r="L83" s="2"/>
    </row>
    <row r="84" spans="1:12" ht="26" x14ac:dyDescent="0.2">
      <c r="A84" s="2" t="s">
        <v>12</v>
      </c>
      <c r="B84" s="2" t="s">
        <v>187</v>
      </c>
      <c r="C84" s="2" t="s">
        <v>192</v>
      </c>
      <c r="D84" s="2" t="s">
        <v>193</v>
      </c>
      <c r="E84" s="3" t="s">
        <v>16</v>
      </c>
      <c r="F84" s="4" t="s">
        <v>17</v>
      </c>
      <c r="G84" s="2" t="s">
        <v>17</v>
      </c>
      <c r="H84" s="5" t="s">
        <v>18</v>
      </c>
      <c r="I84" s="2"/>
      <c r="J84" s="2"/>
      <c r="K84" s="2" t="s">
        <v>19</v>
      </c>
      <c r="L84" s="2"/>
    </row>
    <row r="85" spans="1:12" ht="39" x14ac:dyDescent="0.2">
      <c r="A85" s="2" t="s">
        <v>12</v>
      </c>
      <c r="B85" s="2" t="s">
        <v>187</v>
      </c>
      <c r="C85" s="2" t="s">
        <v>194</v>
      </c>
      <c r="D85" s="2" t="s">
        <v>195</v>
      </c>
      <c r="E85" s="3" t="s">
        <v>16</v>
      </c>
      <c r="F85" s="4" t="s">
        <v>17</v>
      </c>
      <c r="G85" s="2" t="s">
        <v>17</v>
      </c>
      <c r="H85" s="5" t="s">
        <v>18</v>
      </c>
      <c r="I85" s="2"/>
      <c r="J85" s="2"/>
      <c r="K85" s="2" t="s">
        <v>19</v>
      </c>
      <c r="L85" s="2"/>
    </row>
    <row r="86" spans="1:12" ht="39" x14ac:dyDescent="0.2">
      <c r="A86" s="2" t="s">
        <v>12</v>
      </c>
      <c r="B86" s="2" t="s">
        <v>187</v>
      </c>
      <c r="C86" s="2" t="s">
        <v>196</v>
      </c>
      <c r="D86" s="2" t="s">
        <v>197</v>
      </c>
      <c r="E86" s="3" t="s">
        <v>16</v>
      </c>
      <c r="F86" s="4" t="s">
        <v>17</v>
      </c>
      <c r="G86" s="2" t="s">
        <v>17</v>
      </c>
      <c r="H86" s="5" t="s">
        <v>18</v>
      </c>
      <c r="I86" s="2"/>
      <c r="J86" s="2"/>
      <c r="K86" s="2" t="s">
        <v>19</v>
      </c>
      <c r="L86" s="2"/>
    </row>
    <row r="87" spans="1:12" ht="39" x14ac:dyDescent="0.2">
      <c r="A87" s="2" t="s">
        <v>12</v>
      </c>
      <c r="B87" s="2" t="s">
        <v>187</v>
      </c>
      <c r="C87" s="2" t="s">
        <v>198</v>
      </c>
      <c r="D87" s="2" t="s">
        <v>199</v>
      </c>
      <c r="E87" s="3" t="s">
        <v>16</v>
      </c>
      <c r="F87" s="4" t="s">
        <v>17</v>
      </c>
      <c r="G87" s="2" t="s">
        <v>17</v>
      </c>
      <c r="H87" s="5" t="s">
        <v>18</v>
      </c>
      <c r="I87" s="2"/>
      <c r="J87" s="2"/>
      <c r="K87" s="2" t="s">
        <v>19</v>
      </c>
      <c r="L87" s="2"/>
    </row>
    <row r="88" spans="1:12" ht="39" x14ac:dyDescent="0.2">
      <c r="A88" s="2" t="s">
        <v>12</v>
      </c>
      <c r="B88" s="2" t="s">
        <v>200</v>
      </c>
      <c r="C88" s="2" t="s">
        <v>201</v>
      </c>
      <c r="D88" s="2" t="s">
        <v>202</v>
      </c>
      <c r="E88" s="3" t="s">
        <v>16</v>
      </c>
      <c r="F88" s="4" t="s">
        <v>17</v>
      </c>
      <c r="G88" s="2" t="s">
        <v>17</v>
      </c>
      <c r="H88" s="5" t="s">
        <v>18</v>
      </c>
      <c r="I88" s="2"/>
      <c r="J88" s="2"/>
      <c r="K88" s="2" t="s">
        <v>19</v>
      </c>
      <c r="L88" s="2"/>
    </row>
    <row r="89" spans="1:12" ht="52" x14ac:dyDescent="0.2">
      <c r="A89" s="2" t="s">
        <v>12</v>
      </c>
      <c r="B89" s="2" t="s">
        <v>200</v>
      </c>
      <c r="C89" s="2" t="s">
        <v>203</v>
      </c>
      <c r="D89" s="2" t="s">
        <v>204</v>
      </c>
      <c r="E89" s="3" t="s">
        <v>16</v>
      </c>
      <c r="F89" s="4" t="s">
        <v>17</v>
      </c>
      <c r="G89" s="2" t="s">
        <v>17</v>
      </c>
      <c r="H89" s="5" t="s">
        <v>18</v>
      </c>
      <c r="I89" s="2"/>
      <c r="J89" s="2"/>
      <c r="K89" s="2" t="s">
        <v>19</v>
      </c>
      <c r="L89" s="2"/>
    </row>
    <row r="90" spans="1:12" ht="52" x14ac:dyDescent="0.2">
      <c r="A90" s="2" t="s">
        <v>12</v>
      </c>
      <c r="B90" s="2" t="s">
        <v>200</v>
      </c>
      <c r="C90" s="2" t="s">
        <v>205</v>
      </c>
      <c r="D90" s="2" t="s">
        <v>206</v>
      </c>
      <c r="E90" s="3" t="s">
        <v>16</v>
      </c>
      <c r="F90" s="4" t="s">
        <v>17</v>
      </c>
      <c r="G90" s="2" t="s">
        <v>17</v>
      </c>
      <c r="H90" s="5" t="s">
        <v>18</v>
      </c>
      <c r="I90" s="2"/>
      <c r="J90" s="2"/>
      <c r="K90" s="2" t="s">
        <v>19</v>
      </c>
      <c r="L90" s="2"/>
    </row>
    <row r="91" spans="1:12" ht="52" x14ac:dyDescent="0.2">
      <c r="A91" s="2" t="s">
        <v>12</v>
      </c>
      <c r="B91" s="2" t="s">
        <v>200</v>
      </c>
      <c r="C91" s="2" t="s">
        <v>207</v>
      </c>
      <c r="D91" s="2" t="s">
        <v>208</v>
      </c>
      <c r="E91" s="3" t="s">
        <v>16</v>
      </c>
      <c r="F91" s="4" t="s">
        <v>17</v>
      </c>
      <c r="G91" s="2" t="s">
        <v>17</v>
      </c>
      <c r="H91" s="5" t="s">
        <v>18</v>
      </c>
      <c r="I91" s="2"/>
      <c r="J91" s="2"/>
      <c r="K91" s="2" t="s">
        <v>19</v>
      </c>
      <c r="L91" s="2"/>
    </row>
    <row r="92" spans="1:12" ht="39" x14ac:dyDescent="0.2">
      <c r="A92" s="2" t="s">
        <v>12</v>
      </c>
      <c r="B92" s="2" t="s">
        <v>200</v>
      </c>
      <c r="C92" s="2" t="s">
        <v>209</v>
      </c>
      <c r="D92" s="2" t="s">
        <v>210</v>
      </c>
      <c r="E92" s="3" t="s">
        <v>16</v>
      </c>
      <c r="F92" s="4" t="s">
        <v>17</v>
      </c>
      <c r="G92" s="2" t="s">
        <v>17</v>
      </c>
      <c r="H92" s="5" t="s">
        <v>18</v>
      </c>
      <c r="I92" s="2"/>
      <c r="J92" s="2"/>
      <c r="K92" s="2" t="s">
        <v>19</v>
      </c>
      <c r="L92" s="2"/>
    </row>
    <row r="93" spans="1:12" ht="39" x14ac:dyDescent="0.2">
      <c r="A93" s="2" t="s">
        <v>12</v>
      </c>
      <c r="B93" s="2" t="s">
        <v>200</v>
      </c>
      <c r="C93" s="2" t="s">
        <v>211</v>
      </c>
      <c r="D93" s="2" t="s">
        <v>212</v>
      </c>
      <c r="E93" s="3" t="s">
        <v>16</v>
      </c>
      <c r="F93" s="4" t="s">
        <v>17</v>
      </c>
      <c r="G93" s="2" t="s">
        <v>17</v>
      </c>
      <c r="H93" s="5" t="s">
        <v>18</v>
      </c>
      <c r="I93" s="2"/>
      <c r="J93" s="2"/>
      <c r="K93" s="2" t="s">
        <v>19</v>
      </c>
      <c r="L93" s="2"/>
    </row>
    <row r="94" spans="1:12" ht="39" x14ac:dyDescent="0.2">
      <c r="A94" s="2" t="s">
        <v>12</v>
      </c>
      <c r="B94" s="2" t="s">
        <v>200</v>
      </c>
      <c r="C94" s="2" t="s">
        <v>213</v>
      </c>
      <c r="D94" s="2" t="s">
        <v>214</v>
      </c>
      <c r="E94" s="3" t="s">
        <v>16</v>
      </c>
      <c r="F94" s="4" t="s">
        <v>17</v>
      </c>
      <c r="G94" s="2" t="s">
        <v>17</v>
      </c>
      <c r="H94" s="5" t="s">
        <v>18</v>
      </c>
      <c r="I94" s="2"/>
      <c r="J94" s="2"/>
      <c r="K94" s="2" t="s">
        <v>19</v>
      </c>
      <c r="L94" s="2"/>
    </row>
    <row r="95" spans="1:12" ht="39" x14ac:dyDescent="0.2">
      <c r="A95" s="2" t="s">
        <v>12</v>
      </c>
      <c r="B95" s="2" t="s">
        <v>200</v>
      </c>
      <c r="C95" s="2" t="s">
        <v>215</v>
      </c>
      <c r="D95" s="2" t="s">
        <v>216</v>
      </c>
      <c r="E95" s="3" t="s">
        <v>16</v>
      </c>
      <c r="F95" s="4" t="s">
        <v>17</v>
      </c>
      <c r="G95" s="2" t="s">
        <v>17</v>
      </c>
      <c r="H95" s="5" t="s">
        <v>18</v>
      </c>
      <c r="I95" s="2"/>
      <c r="J95" s="2"/>
      <c r="K95" s="2" t="s">
        <v>19</v>
      </c>
      <c r="L95" s="2"/>
    </row>
    <row r="96" spans="1:12" ht="39" x14ac:dyDescent="0.2">
      <c r="A96" s="2" t="s">
        <v>12</v>
      </c>
      <c r="B96" s="2" t="s">
        <v>217</v>
      </c>
      <c r="C96" s="2" t="s">
        <v>218</v>
      </c>
      <c r="D96" s="2" t="s">
        <v>219</v>
      </c>
      <c r="E96" s="3" t="s">
        <v>16</v>
      </c>
      <c r="F96" s="4" t="s">
        <v>17</v>
      </c>
      <c r="G96" s="2" t="s">
        <v>17</v>
      </c>
      <c r="H96" s="5" t="s">
        <v>18</v>
      </c>
      <c r="I96" s="2"/>
      <c r="J96" s="2"/>
      <c r="K96" s="2" t="s">
        <v>19</v>
      </c>
      <c r="L96" s="2"/>
    </row>
    <row r="97" spans="1:12" ht="26" x14ac:dyDescent="0.2">
      <c r="A97" s="2" t="s">
        <v>12</v>
      </c>
      <c r="B97" s="2" t="s">
        <v>217</v>
      </c>
      <c r="C97" s="2" t="s">
        <v>220</v>
      </c>
      <c r="D97" s="2" t="s">
        <v>221</v>
      </c>
      <c r="E97" s="3" t="s">
        <v>16</v>
      </c>
      <c r="F97" s="4" t="s">
        <v>17</v>
      </c>
      <c r="G97" s="2" t="s">
        <v>17</v>
      </c>
      <c r="H97" s="5" t="s">
        <v>18</v>
      </c>
      <c r="I97" s="2"/>
      <c r="J97" s="2"/>
      <c r="K97" s="2" t="s">
        <v>19</v>
      </c>
      <c r="L97" s="2"/>
    </row>
    <row r="98" spans="1:12" ht="39" x14ac:dyDescent="0.2">
      <c r="A98" s="2" t="s">
        <v>12</v>
      </c>
      <c r="B98" s="2" t="s">
        <v>217</v>
      </c>
      <c r="C98" s="2" t="s">
        <v>222</v>
      </c>
      <c r="D98" s="28" t="s">
        <v>223</v>
      </c>
      <c r="E98" s="3" t="s">
        <v>16</v>
      </c>
      <c r="F98" s="4" t="s">
        <v>17</v>
      </c>
      <c r="G98" s="2" t="s">
        <v>17</v>
      </c>
      <c r="H98" s="5" t="s">
        <v>18</v>
      </c>
      <c r="I98" s="2"/>
      <c r="J98" s="2" t="s">
        <v>2447</v>
      </c>
      <c r="K98" s="2" t="s">
        <v>19</v>
      </c>
      <c r="L98" s="2"/>
    </row>
    <row r="99" spans="1:12" ht="26" x14ac:dyDescent="0.2">
      <c r="A99" s="2" t="s">
        <v>12</v>
      </c>
      <c r="B99" s="2" t="s">
        <v>217</v>
      </c>
      <c r="C99" s="2" t="s">
        <v>224</v>
      </c>
      <c r="D99" s="2" t="s">
        <v>225</v>
      </c>
      <c r="E99" s="3" t="s">
        <v>16</v>
      </c>
      <c r="F99" s="4" t="s">
        <v>17</v>
      </c>
      <c r="G99" s="2" t="s">
        <v>17</v>
      </c>
      <c r="H99" s="5" t="s">
        <v>18</v>
      </c>
      <c r="I99" s="2"/>
      <c r="J99" s="2"/>
      <c r="K99" s="2" t="s">
        <v>19</v>
      </c>
      <c r="L99" s="2"/>
    </row>
    <row r="100" spans="1:12" ht="39" x14ac:dyDescent="0.2">
      <c r="A100" s="2" t="s">
        <v>12</v>
      </c>
      <c r="B100" s="2" t="s">
        <v>217</v>
      </c>
      <c r="C100" s="2" t="s">
        <v>226</v>
      </c>
      <c r="D100" s="2" t="s">
        <v>227</v>
      </c>
      <c r="E100" s="3" t="s">
        <v>16</v>
      </c>
      <c r="F100" s="4" t="s">
        <v>17</v>
      </c>
      <c r="G100" s="2" t="s">
        <v>17</v>
      </c>
      <c r="H100" s="5" t="s">
        <v>18</v>
      </c>
      <c r="I100" s="2"/>
      <c r="J100" s="2"/>
      <c r="K100" s="2" t="s">
        <v>19</v>
      </c>
      <c r="L100" s="2"/>
    </row>
    <row r="101" spans="1:12" ht="39" x14ac:dyDescent="0.2">
      <c r="A101" s="2" t="s">
        <v>12</v>
      </c>
      <c r="B101" s="2" t="s">
        <v>217</v>
      </c>
      <c r="C101" s="2" t="s">
        <v>228</v>
      </c>
      <c r="D101" s="2" t="s">
        <v>229</v>
      </c>
      <c r="E101" s="3" t="s">
        <v>16</v>
      </c>
      <c r="F101" s="4" t="s">
        <v>17</v>
      </c>
      <c r="G101" s="2" t="s">
        <v>17</v>
      </c>
      <c r="H101" s="5" t="s">
        <v>18</v>
      </c>
      <c r="I101" s="2"/>
      <c r="J101" s="2"/>
      <c r="K101" s="2" t="s">
        <v>19</v>
      </c>
      <c r="L101" s="2"/>
    </row>
    <row r="102" spans="1:12" ht="39" x14ac:dyDescent="0.2">
      <c r="A102" s="2" t="s">
        <v>12</v>
      </c>
      <c r="B102" s="2" t="s">
        <v>230</v>
      </c>
      <c r="C102" s="2" t="s">
        <v>231</v>
      </c>
      <c r="D102" s="2" t="s">
        <v>232</v>
      </c>
      <c r="E102" s="3" t="s">
        <v>16</v>
      </c>
      <c r="F102" s="4" t="s">
        <v>17</v>
      </c>
      <c r="G102" s="2" t="s">
        <v>17</v>
      </c>
      <c r="H102" s="5" t="s">
        <v>18</v>
      </c>
      <c r="I102" s="2"/>
      <c r="J102" s="2"/>
      <c r="K102" s="2" t="s">
        <v>19</v>
      </c>
      <c r="L102" s="2"/>
    </row>
    <row r="103" spans="1:12" ht="39" x14ac:dyDescent="0.2">
      <c r="A103" s="2" t="s">
        <v>12</v>
      </c>
      <c r="B103" s="2" t="s">
        <v>230</v>
      </c>
      <c r="C103" s="2" t="s">
        <v>233</v>
      </c>
      <c r="D103" s="2" t="s">
        <v>234</v>
      </c>
      <c r="E103" s="3" t="s">
        <v>16</v>
      </c>
      <c r="F103" s="4" t="s">
        <v>17</v>
      </c>
      <c r="G103" s="2" t="s">
        <v>17</v>
      </c>
      <c r="H103" s="5" t="s">
        <v>18</v>
      </c>
      <c r="I103" s="2"/>
      <c r="J103" s="2"/>
      <c r="K103" s="2" t="s">
        <v>19</v>
      </c>
      <c r="L103" s="2"/>
    </row>
    <row r="104" spans="1:12" ht="65" x14ac:dyDescent="0.2">
      <c r="A104" s="2" t="s">
        <v>12</v>
      </c>
      <c r="B104" s="2" t="s">
        <v>230</v>
      </c>
      <c r="C104" s="2" t="s">
        <v>235</v>
      </c>
      <c r="D104" s="28" t="s">
        <v>236</v>
      </c>
      <c r="E104" s="3" t="s">
        <v>16</v>
      </c>
      <c r="F104" s="4" t="s">
        <v>17</v>
      </c>
      <c r="G104" s="2" t="s">
        <v>17</v>
      </c>
      <c r="H104" s="5" t="s">
        <v>18</v>
      </c>
      <c r="I104" s="2"/>
      <c r="J104" s="2" t="s">
        <v>2448</v>
      </c>
      <c r="K104" s="2" t="s">
        <v>19</v>
      </c>
      <c r="L104" s="2"/>
    </row>
    <row r="105" spans="1:12" ht="39" x14ac:dyDescent="0.2">
      <c r="A105" s="2" t="s">
        <v>12</v>
      </c>
      <c r="B105" s="2" t="s">
        <v>230</v>
      </c>
      <c r="C105" s="2" t="s">
        <v>237</v>
      </c>
      <c r="D105" s="2" t="s">
        <v>238</v>
      </c>
      <c r="E105" s="3" t="s">
        <v>16</v>
      </c>
      <c r="F105" s="4" t="s">
        <v>17</v>
      </c>
      <c r="G105" s="2" t="s">
        <v>17</v>
      </c>
      <c r="H105" s="5" t="s">
        <v>18</v>
      </c>
      <c r="I105" s="2"/>
      <c r="J105" s="2"/>
      <c r="K105" s="2" t="s">
        <v>19</v>
      </c>
      <c r="L105" s="2"/>
    </row>
    <row r="106" spans="1:12" ht="104" x14ac:dyDescent="0.2">
      <c r="A106" s="2" t="s">
        <v>12</v>
      </c>
      <c r="B106" s="2" t="s">
        <v>230</v>
      </c>
      <c r="C106" s="2" t="s">
        <v>239</v>
      </c>
      <c r="D106" s="28" t="s">
        <v>240</v>
      </c>
      <c r="E106" s="3" t="s">
        <v>16</v>
      </c>
      <c r="F106" s="4" t="s">
        <v>17</v>
      </c>
      <c r="G106" s="2" t="s">
        <v>17</v>
      </c>
      <c r="H106" s="5" t="s">
        <v>2398</v>
      </c>
      <c r="I106" s="2" t="s">
        <v>2449</v>
      </c>
      <c r="J106" s="2" t="s">
        <v>2450</v>
      </c>
      <c r="K106" s="2" t="s">
        <v>19</v>
      </c>
      <c r="L106" s="2"/>
    </row>
    <row r="107" spans="1:12" ht="39" x14ac:dyDescent="0.2">
      <c r="A107" s="2" t="s">
        <v>12</v>
      </c>
      <c r="B107" s="2" t="s">
        <v>230</v>
      </c>
      <c r="C107" s="2" t="s">
        <v>241</v>
      </c>
      <c r="D107" s="2" t="s">
        <v>242</v>
      </c>
      <c r="E107" s="3" t="s">
        <v>16</v>
      </c>
      <c r="F107" s="4" t="s">
        <v>17</v>
      </c>
      <c r="G107" s="2" t="s">
        <v>17</v>
      </c>
      <c r="H107" s="5" t="s">
        <v>18</v>
      </c>
      <c r="I107" s="2"/>
      <c r="J107" s="2"/>
      <c r="K107" s="2" t="s">
        <v>19</v>
      </c>
      <c r="L107" s="2"/>
    </row>
    <row r="108" spans="1:12" ht="39" x14ac:dyDescent="0.2">
      <c r="A108" s="2" t="s">
        <v>12</v>
      </c>
      <c r="B108" s="2" t="s">
        <v>230</v>
      </c>
      <c r="C108" s="2" t="s">
        <v>243</v>
      </c>
      <c r="D108" s="2" t="s">
        <v>244</v>
      </c>
      <c r="E108" s="3" t="s">
        <v>16</v>
      </c>
      <c r="F108" s="4" t="s">
        <v>17</v>
      </c>
      <c r="G108" s="2" t="s">
        <v>17</v>
      </c>
      <c r="H108" s="5" t="s">
        <v>18</v>
      </c>
      <c r="I108" s="2"/>
      <c r="J108" s="2"/>
      <c r="K108" s="2" t="s">
        <v>19</v>
      </c>
      <c r="L108" s="2"/>
    </row>
    <row r="109" spans="1:12" ht="39" x14ac:dyDescent="0.2">
      <c r="A109" s="2" t="s">
        <v>12</v>
      </c>
      <c r="B109" s="2" t="s">
        <v>230</v>
      </c>
      <c r="C109" s="2" t="s">
        <v>245</v>
      </c>
      <c r="D109" s="28" t="s">
        <v>246</v>
      </c>
      <c r="E109" s="3" t="s">
        <v>16</v>
      </c>
      <c r="F109" s="4" t="s">
        <v>17</v>
      </c>
      <c r="G109" s="2" t="s">
        <v>17</v>
      </c>
      <c r="H109" s="5" t="s">
        <v>18</v>
      </c>
      <c r="I109" s="2"/>
      <c r="J109" s="2" t="s">
        <v>2451</v>
      </c>
      <c r="K109" s="2" t="s">
        <v>19</v>
      </c>
      <c r="L109" s="2"/>
    </row>
    <row r="110" spans="1:12" ht="39" x14ac:dyDescent="0.2">
      <c r="A110" s="2" t="s">
        <v>12</v>
      </c>
      <c r="B110" s="2" t="s">
        <v>247</v>
      </c>
      <c r="C110" s="2" t="s">
        <v>248</v>
      </c>
      <c r="D110" s="2" t="s">
        <v>249</v>
      </c>
      <c r="E110" s="3" t="s">
        <v>16</v>
      </c>
      <c r="F110" s="4" t="s">
        <v>17</v>
      </c>
      <c r="G110" s="2" t="s">
        <v>17</v>
      </c>
      <c r="H110" s="5" t="s">
        <v>18</v>
      </c>
      <c r="I110" s="2"/>
      <c r="J110" s="2"/>
      <c r="K110" s="2" t="s">
        <v>19</v>
      </c>
      <c r="L110" s="2"/>
    </row>
    <row r="111" spans="1:12" ht="39" x14ac:dyDescent="0.2">
      <c r="A111" s="2" t="s">
        <v>12</v>
      </c>
      <c r="B111" s="2" t="s">
        <v>247</v>
      </c>
      <c r="C111" s="2" t="s">
        <v>250</v>
      </c>
      <c r="D111" s="2" t="s">
        <v>251</v>
      </c>
      <c r="E111" s="3" t="s">
        <v>16</v>
      </c>
      <c r="F111" s="4" t="s">
        <v>17</v>
      </c>
      <c r="G111" s="2" t="s">
        <v>17</v>
      </c>
      <c r="H111" s="5" t="s">
        <v>18</v>
      </c>
      <c r="I111" s="2"/>
      <c r="J111" s="2"/>
      <c r="K111" s="2" t="s">
        <v>19</v>
      </c>
      <c r="L111" s="2"/>
    </row>
    <row r="112" spans="1:12" ht="26" x14ac:dyDescent="0.2">
      <c r="A112" s="2" t="s">
        <v>12</v>
      </c>
      <c r="B112" s="2" t="s">
        <v>247</v>
      </c>
      <c r="C112" s="2" t="s">
        <v>252</v>
      </c>
      <c r="D112" s="2" t="s">
        <v>253</v>
      </c>
      <c r="E112" s="3" t="s">
        <v>16</v>
      </c>
      <c r="F112" s="4" t="s">
        <v>17</v>
      </c>
      <c r="G112" s="2" t="s">
        <v>17</v>
      </c>
      <c r="H112" s="5" t="s">
        <v>18</v>
      </c>
      <c r="I112" s="2"/>
      <c r="J112" s="2"/>
      <c r="K112" s="2" t="s">
        <v>19</v>
      </c>
      <c r="L112" s="2"/>
    </row>
    <row r="113" spans="1:12" ht="39" x14ac:dyDescent="0.2">
      <c r="A113" s="2" t="s">
        <v>12</v>
      </c>
      <c r="B113" s="2" t="s">
        <v>247</v>
      </c>
      <c r="C113" s="2" t="s">
        <v>254</v>
      </c>
      <c r="D113" s="2" t="s">
        <v>255</v>
      </c>
      <c r="E113" s="3" t="s">
        <v>16</v>
      </c>
      <c r="F113" s="4" t="s">
        <v>17</v>
      </c>
      <c r="G113" s="2" t="s">
        <v>17</v>
      </c>
      <c r="H113" s="5" t="s">
        <v>18</v>
      </c>
      <c r="I113" s="2"/>
      <c r="J113" s="2"/>
      <c r="K113" s="2" t="s">
        <v>19</v>
      </c>
      <c r="L113" s="2"/>
    </row>
    <row r="114" spans="1:12" ht="39" x14ac:dyDescent="0.2">
      <c r="A114" s="2" t="s">
        <v>12</v>
      </c>
      <c r="B114" s="2" t="s">
        <v>247</v>
      </c>
      <c r="C114" s="2" t="s">
        <v>256</v>
      </c>
      <c r="D114" s="2" t="s">
        <v>257</v>
      </c>
      <c r="E114" s="3" t="s">
        <v>16</v>
      </c>
      <c r="F114" s="4" t="s">
        <v>17</v>
      </c>
      <c r="G114" s="2" t="s">
        <v>17</v>
      </c>
      <c r="H114" s="5" t="s">
        <v>18</v>
      </c>
      <c r="I114" s="2"/>
      <c r="J114" s="2"/>
      <c r="K114" s="2" t="s">
        <v>19</v>
      </c>
      <c r="L114" s="2"/>
    </row>
    <row r="115" spans="1:12" ht="39" x14ac:dyDescent="0.2">
      <c r="A115" s="2" t="s">
        <v>12</v>
      </c>
      <c r="B115" s="2" t="s">
        <v>247</v>
      </c>
      <c r="C115" s="2" t="s">
        <v>258</v>
      </c>
      <c r="D115" s="2" t="s">
        <v>259</v>
      </c>
      <c r="E115" s="3" t="s">
        <v>16</v>
      </c>
      <c r="F115" s="4" t="s">
        <v>17</v>
      </c>
      <c r="G115" s="2" t="s">
        <v>17</v>
      </c>
      <c r="H115" s="5" t="s">
        <v>18</v>
      </c>
      <c r="I115" s="2"/>
      <c r="J115" s="2"/>
      <c r="K115" s="2" t="s">
        <v>19</v>
      </c>
      <c r="L115" s="2"/>
    </row>
    <row r="116" spans="1:12" ht="39" x14ac:dyDescent="0.2">
      <c r="A116" s="2" t="s">
        <v>260</v>
      </c>
      <c r="B116" s="2" t="s">
        <v>261</v>
      </c>
      <c r="C116" s="2" t="s">
        <v>262</v>
      </c>
      <c r="D116" s="2" t="s">
        <v>263</v>
      </c>
      <c r="E116" s="6" t="s">
        <v>264</v>
      </c>
      <c r="F116" s="4" t="s">
        <v>17</v>
      </c>
      <c r="G116" s="2" t="s">
        <v>17</v>
      </c>
      <c r="H116" s="5" t="s">
        <v>18</v>
      </c>
      <c r="I116" s="2"/>
      <c r="J116" s="2"/>
      <c r="K116" s="2" t="s">
        <v>19</v>
      </c>
      <c r="L116" s="2"/>
    </row>
    <row r="117" spans="1:12" ht="52" x14ac:dyDescent="0.2">
      <c r="A117" s="2" t="s">
        <v>260</v>
      </c>
      <c r="B117" s="2" t="s">
        <v>261</v>
      </c>
      <c r="C117" s="2" t="s">
        <v>265</v>
      </c>
      <c r="D117" s="2" t="s">
        <v>266</v>
      </c>
      <c r="E117" s="6" t="s">
        <v>264</v>
      </c>
      <c r="F117" s="4" t="s">
        <v>17</v>
      </c>
      <c r="G117" s="2" t="s">
        <v>17</v>
      </c>
      <c r="H117" s="5" t="s">
        <v>18</v>
      </c>
      <c r="I117" s="2"/>
      <c r="J117" s="2"/>
      <c r="K117" s="2" t="s">
        <v>19</v>
      </c>
      <c r="L117" s="2"/>
    </row>
    <row r="118" spans="1:12" ht="39" x14ac:dyDescent="0.2">
      <c r="A118" s="2" t="s">
        <v>260</v>
      </c>
      <c r="B118" s="2" t="s">
        <v>261</v>
      </c>
      <c r="C118" s="2" t="s">
        <v>267</v>
      </c>
      <c r="D118" s="2" t="s">
        <v>268</v>
      </c>
      <c r="E118" s="6" t="s">
        <v>264</v>
      </c>
      <c r="F118" s="4" t="s">
        <v>17</v>
      </c>
      <c r="G118" s="2" t="s">
        <v>17</v>
      </c>
      <c r="H118" s="5" t="s">
        <v>18</v>
      </c>
      <c r="I118" s="2"/>
      <c r="J118" s="2"/>
      <c r="K118" s="2" t="s">
        <v>19</v>
      </c>
      <c r="L118" s="2"/>
    </row>
    <row r="119" spans="1:12" ht="39" x14ac:dyDescent="0.2">
      <c r="A119" s="2" t="s">
        <v>260</v>
      </c>
      <c r="B119" s="2" t="s">
        <v>269</v>
      </c>
      <c r="C119" s="2" t="s">
        <v>270</v>
      </c>
      <c r="D119" s="2" t="s">
        <v>271</v>
      </c>
      <c r="E119" s="6" t="s">
        <v>264</v>
      </c>
      <c r="F119" s="7" t="s">
        <v>272</v>
      </c>
      <c r="G119" s="2" t="s">
        <v>273</v>
      </c>
      <c r="H119" s="5" t="s">
        <v>18</v>
      </c>
      <c r="I119" s="2"/>
      <c r="J119" s="2"/>
      <c r="K119" s="2" t="s">
        <v>19</v>
      </c>
      <c r="L119" s="2"/>
    </row>
    <row r="120" spans="1:12" ht="52" x14ac:dyDescent="0.2">
      <c r="A120" s="2" t="s">
        <v>260</v>
      </c>
      <c r="B120" s="2" t="s">
        <v>269</v>
      </c>
      <c r="C120" s="2" t="s">
        <v>274</v>
      </c>
      <c r="D120" s="2" t="s">
        <v>275</v>
      </c>
      <c r="E120" s="6" t="s">
        <v>264</v>
      </c>
      <c r="F120" s="4" t="s">
        <v>17</v>
      </c>
      <c r="G120" s="2" t="s">
        <v>17</v>
      </c>
      <c r="H120" s="5" t="s">
        <v>18</v>
      </c>
      <c r="I120" s="2"/>
      <c r="J120" s="2"/>
      <c r="K120" s="2" t="s">
        <v>19</v>
      </c>
      <c r="L120" s="2"/>
    </row>
    <row r="121" spans="1:12" ht="52" x14ac:dyDescent="0.2">
      <c r="A121" s="2" t="s">
        <v>260</v>
      </c>
      <c r="B121" s="2" t="s">
        <v>269</v>
      </c>
      <c r="C121" s="2" t="s">
        <v>276</v>
      </c>
      <c r="D121" s="2" t="s">
        <v>277</v>
      </c>
      <c r="E121" s="6" t="s">
        <v>264</v>
      </c>
      <c r="F121" s="4" t="s">
        <v>17</v>
      </c>
      <c r="G121" s="2" t="s">
        <v>17</v>
      </c>
      <c r="H121" s="5" t="s">
        <v>18</v>
      </c>
      <c r="I121" s="2"/>
      <c r="J121" s="2"/>
      <c r="K121" s="2" t="s">
        <v>19</v>
      </c>
      <c r="L121" s="2"/>
    </row>
    <row r="122" spans="1:12" ht="52" x14ac:dyDescent="0.2">
      <c r="A122" s="2" t="s">
        <v>260</v>
      </c>
      <c r="B122" s="2" t="s">
        <v>269</v>
      </c>
      <c r="C122" s="2" t="s">
        <v>278</v>
      </c>
      <c r="D122" s="2" t="s">
        <v>279</v>
      </c>
      <c r="E122" s="6" t="s">
        <v>264</v>
      </c>
      <c r="F122" s="4" t="s">
        <v>17</v>
      </c>
      <c r="G122" s="2" t="s">
        <v>17</v>
      </c>
      <c r="H122" s="5" t="s">
        <v>18</v>
      </c>
      <c r="I122" s="2"/>
      <c r="J122" s="2"/>
      <c r="K122" s="2" t="s">
        <v>19</v>
      </c>
      <c r="L122" s="2"/>
    </row>
    <row r="123" spans="1:12" ht="39" x14ac:dyDescent="0.2">
      <c r="A123" s="2" t="s">
        <v>260</v>
      </c>
      <c r="B123" s="2" t="s">
        <v>269</v>
      </c>
      <c r="C123" s="2" t="s">
        <v>280</v>
      </c>
      <c r="D123" s="2" t="s">
        <v>281</v>
      </c>
      <c r="E123" s="6" t="s">
        <v>264</v>
      </c>
      <c r="F123" s="4" t="s">
        <v>17</v>
      </c>
      <c r="G123" s="2" t="s">
        <v>17</v>
      </c>
      <c r="H123" s="5" t="s">
        <v>18</v>
      </c>
      <c r="I123" s="2"/>
      <c r="J123" s="2"/>
      <c r="K123" s="2" t="s">
        <v>19</v>
      </c>
      <c r="L123" s="2"/>
    </row>
    <row r="124" spans="1:12" ht="52" x14ac:dyDescent="0.2">
      <c r="A124" s="2" t="s">
        <v>260</v>
      </c>
      <c r="B124" s="2" t="s">
        <v>269</v>
      </c>
      <c r="C124" s="2" t="s">
        <v>282</v>
      </c>
      <c r="D124" s="2" t="s">
        <v>283</v>
      </c>
      <c r="E124" s="6" t="s">
        <v>264</v>
      </c>
      <c r="F124" s="4" t="s">
        <v>17</v>
      </c>
      <c r="G124" s="2" t="s">
        <v>17</v>
      </c>
      <c r="H124" s="5" t="s">
        <v>18</v>
      </c>
      <c r="I124" s="2"/>
      <c r="J124" s="2"/>
      <c r="K124" s="2" t="s">
        <v>19</v>
      </c>
      <c r="L124" s="2"/>
    </row>
    <row r="125" spans="1:12" ht="52" x14ac:dyDescent="0.2">
      <c r="A125" s="2" t="s">
        <v>260</v>
      </c>
      <c r="B125" s="2" t="s">
        <v>269</v>
      </c>
      <c r="C125" s="2" t="s">
        <v>284</v>
      </c>
      <c r="D125" s="2" t="s">
        <v>285</v>
      </c>
      <c r="E125" s="6" t="s">
        <v>264</v>
      </c>
      <c r="F125" s="4" t="s">
        <v>17</v>
      </c>
      <c r="G125" s="2" t="s">
        <v>17</v>
      </c>
      <c r="H125" s="5" t="s">
        <v>18</v>
      </c>
      <c r="I125" s="2"/>
      <c r="J125" s="2"/>
      <c r="K125" s="2" t="s">
        <v>19</v>
      </c>
      <c r="L125" s="2"/>
    </row>
    <row r="126" spans="1:12" ht="39" x14ac:dyDescent="0.2">
      <c r="A126" s="2" t="s">
        <v>260</v>
      </c>
      <c r="B126" s="2" t="s">
        <v>286</v>
      </c>
      <c r="C126" s="2" t="s">
        <v>287</v>
      </c>
      <c r="D126" s="2" t="s">
        <v>288</v>
      </c>
      <c r="E126" s="6" t="s">
        <v>264</v>
      </c>
      <c r="F126" s="4" t="s">
        <v>17</v>
      </c>
      <c r="G126" s="2" t="s">
        <v>17</v>
      </c>
      <c r="H126" s="5" t="s">
        <v>18</v>
      </c>
      <c r="I126" s="2"/>
      <c r="J126" s="2"/>
      <c r="K126" s="2" t="s">
        <v>19</v>
      </c>
      <c r="L126" s="2"/>
    </row>
    <row r="127" spans="1:12" ht="39" x14ac:dyDescent="0.2">
      <c r="A127" s="2" t="s">
        <v>260</v>
      </c>
      <c r="B127" s="2" t="s">
        <v>286</v>
      </c>
      <c r="C127" s="2" t="s">
        <v>289</v>
      </c>
      <c r="D127" s="2" t="s">
        <v>290</v>
      </c>
      <c r="E127" s="6" t="s">
        <v>264</v>
      </c>
      <c r="F127" s="4" t="s">
        <v>17</v>
      </c>
      <c r="G127" s="2" t="s">
        <v>17</v>
      </c>
      <c r="H127" s="5" t="s">
        <v>18</v>
      </c>
      <c r="I127" s="2"/>
      <c r="J127" s="2"/>
      <c r="K127" s="2" t="s">
        <v>19</v>
      </c>
      <c r="L127" s="2"/>
    </row>
    <row r="128" spans="1:12" ht="39" x14ac:dyDescent="0.2">
      <c r="A128" s="2" t="s">
        <v>260</v>
      </c>
      <c r="B128" s="2" t="s">
        <v>286</v>
      </c>
      <c r="C128" s="2" t="s">
        <v>291</v>
      </c>
      <c r="D128" s="2" t="s">
        <v>292</v>
      </c>
      <c r="E128" s="6" t="s">
        <v>264</v>
      </c>
      <c r="F128" s="4" t="s">
        <v>17</v>
      </c>
      <c r="G128" s="2" t="s">
        <v>17</v>
      </c>
      <c r="H128" s="5" t="s">
        <v>18</v>
      </c>
      <c r="I128" s="2"/>
      <c r="J128" s="2"/>
      <c r="K128" s="2" t="s">
        <v>19</v>
      </c>
      <c r="L128" s="2"/>
    </row>
    <row r="129" spans="1:12" ht="52" x14ac:dyDescent="0.2">
      <c r="A129" s="2" t="s">
        <v>260</v>
      </c>
      <c r="B129" s="2" t="s">
        <v>293</v>
      </c>
      <c r="C129" s="2" t="s">
        <v>294</v>
      </c>
      <c r="D129" s="2" t="s">
        <v>295</v>
      </c>
      <c r="E129" s="6" t="s">
        <v>264</v>
      </c>
      <c r="F129" s="4" t="s">
        <v>17</v>
      </c>
      <c r="G129" s="2" t="s">
        <v>17</v>
      </c>
      <c r="H129" s="5" t="s">
        <v>18</v>
      </c>
      <c r="I129" s="2"/>
      <c r="J129" s="2"/>
      <c r="K129" s="2" t="s">
        <v>19</v>
      </c>
      <c r="L129" s="2"/>
    </row>
    <row r="130" spans="1:12" ht="52" x14ac:dyDescent="0.2">
      <c r="A130" s="2" t="s">
        <v>260</v>
      </c>
      <c r="B130" s="2" t="s">
        <v>293</v>
      </c>
      <c r="C130" s="2" t="s">
        <v>296</v>
      </c>
      <c r="D130" s="2" t="s">
        <v>297</v>
      </c>
      <c r="E130" s="6" t="s">
        <v>264</v>
      </c>
      <c r="F130" s="4" t="s">
        <v>17</v>
      </c>
      <c r="G130" s="2" t="s">
        <v>17</v>
      </c>
      <c r="H130" s="5" t="s">
        <v>18</v>
      </c>
      <c r="I130" s="2"/>
      <c r="J130" s="2"/>
      <c r="K130" s="2" t="s">
        <v>19</v>
      </c>
      <c r="L130" s="2"/>
    </row>
    <row r="131" spans="1:12" ht="52" x14ac:dyDescent="0.2">
      <c r="A131" s="2" t="s">
        <v>260</v>
      </c>
      <c r="B131" s="2" t="s">
        <v>293</v>
      </c>
      <c r="C131" s="2" t="s">
        <v>298</v>
      </c>
      <c r="D131" s="2" t="s">
        <v>299</v>
      </c>
      <c r="E131" s="6" t="s">
        <v>264</v>
      </c>
      <c r="F131" s="4" t="s">
        <v>17</v>
      </c>
      <c r="G131" s="2" t="s">
        <v>17</v>
      </c>
      <c r="H131" s="5" t="s">
        <v>18</v>
      </c>
      <c r="I131" s="2"/>
      <c r="J131" s="2"/>
      <c r="K131" s="2" t="s">
        <v>19</v>
      </c>
      <c r="L131" s="2"/>
    </row>
    <row r="132" spans="1:12" ht="52" x14ac:dyDescent="0.2">
      <c r="A132" s="2" t="s">
        <v>260</v>
      </c>
      <c r="B132" s="2" t="s">
        <v>293</v>
      </c>
      <c r="C132" s="2" t="s">
        <v>300</v>
      </c>
      <c r="D132" s="2" t="s">
        <v>301</v>
      </c>
      <c r="E132" s="6" t="s">
        <v>264</v>
      </c>
      <c r="F132" s="4" t="s">
        <v>17</v>
      </c>
      <c r="G132" s="2" t="s">
        <v>17</v>
      </c>
      <c r="H132" s="5" t="s">
        <v>18</v>
      </c>
      <c r="I132" s="2"/>
      <c r="J132" s="2"/>
      <c r="K132" s="2" t="s">
        <v>19</v>
      </c>
      <c r="L132" s="2"/>
    </row>
    <row r="133" spans="1:12" ht="39" x14ac:dyDescent="0.2">
      <c r="A133" s="2" t="s">
        <v>260</v>
      </c>
      <c r="B133" s="2" t="s">
        <v>293</v>
      </c>
      <c r="C133" s="2" t="s">
        <v>302</v>
      </c>
      <c r="D133" s="2" t="s">
        <v>303</v>
      </c>
      <c r="E133" s="6" t="s">
        <v>264</v>
      </c>
      <c r="F133" s="4" t="s">
        <v>17</v>
      </c>
      <c r="G133" s="2" t="s">
        <v>17</v>
      </c>
      <c r="H133" s="5" t="s">
        <v>18</v>
      </c>
      <c r="I133" s="2"/>
      <c r="J133" s="2"/>
      <c r="K133" s="2" t="s">
        <v>19</v>
      </c>
      <c r="L133" s="2"/>
    </row>
    <row r="134" spans="1:12" ht="52" x14ac:dyDescent="0.2">
      <c r="A134" s="2" t="s">
        <v>260</v>
      </c>
      <c r="B134" s="2" t="s">
        <v>293</v>
      </c>
      <c r="C134" s="2" t="s">
        <v>304</v>
      </c>
      <c r="D134" s="2" t="s">
        <v>305</v>
      </c>
      <c r="E134" s="6" t="s">
        <v>264</v>
      </c>
      <c r="F134" s="4" t="s">
        <v>17</v>
      </c>
      <c r="G134" s="2" t="s">
        <v>17</v>
      </c>
      <c r="H134" s="5" t="s">
        <v>18</v>
      </c>
      <c r="I134" s="2"/>
      <c r="J134" s="2"/>
      <c r="K134" s="2" t="s">
        <v>19</v>
      </c>
      <c r="L134" s="2"/>
    </row>
    <row r="135" spans="1:12" ht="39" x14ac:dyDescent="0.2">
      <c r="A135" s="2" t="s">
        <v>260</v>
      </c>
      <c r="B135" s="2" t="s">
        <v>293</v>
      </c>
      <c r="C135" s="2" t="s">
        <v>306</v>
      </c>
      <c r="D135" s="2" t="s">
        <v>307</v>
      </c>
      <c r="E135" s="6" t="s">
        <v>264</v>
      </c>
      <c r="F135" s="4" t="s">
        <v>17</v>
      </c>
      <c r="G135" s="2" t="s">
        <v>17</v>
      </c>
      <c r="H135" s="5" t="s">
        <v>18</v>
      </c>
      <c r="I135" s="2"/>
      <c r="J135" s="2"/>
      <c r="K135" s="2" t="s">
        <v>19</v>
      </c>
      <c r="L135" s="2"/>
    </row>
    <row r="136" spans="1:12" ht="39" x14ac:dyDescent="0.2">
      <c r="A136" s="2" t="s">
        <v>260</v>
      </c>
      <c r="B136" s="2" t="s">
        <v>293</v>
      </c>
      <c r="C136" s="2" t="s">
        <v>308</v>
      </c>
      <c r="D136" s="2" t="s">
        <v>309</v>
      </c>
      <c r="E136" s="6" t="s">
        <v>264</v>
      </c>
      <c r="F136" s="4" t="s">
        <v>17</v>
      </c>
      <c r="G136" s="2" t="s">
        <v>17</v>
      </c>
      <c r="H136" s="5" t="s">
        <v>18</v>
      </c>
      <c r="I136" s="2"/>
      <c r="J136" s="2"/>
      <c r="K136" s="2" t="s">
        <v>19</v>
      </c>
      <c r="L136" s="2"/>
    </row>
    <row r="137" spans="1:12" ht="39" x14ac:dyDescent="0.2">
      <c r="A137" s="2" t="s">
        <v>260</v>
      </c>
      <c r="B137" s="2" t="s">
        <v>310</v>
      </c>
      <c r="C137" s="2" t="s">
        <v>311</v>
      </c>
      <c r="D137" s="2" t="s">
        <v>312</v>
      </c>
      <c r="E137" s="6" t="s">
        <v>264</v>
      </c>
      <c r="F137" s="4" t="s">
        <v>17</v>
      </c>
      <c r="G137" s="2" t="s">
        <v>17</v>
      </c>
      <c r="H137" s="5" t="s">
        <v>18</v>
      </c>
      <c r="I137" s="2"/>
      <c r="J137" s="2"/>
      <c r="K137" s="2" t="s">
        <v>19</v>
      </c>
      <c r="L137" s="2"/>
    </row>
    <row r="138" spans="1:12" ht="39" x14ac:dyDescent="0.2">
      <c r="A138" s="2" t="s">
        <v>260</v>
      </c>
      <c r="B138" s="2" t="s">
        <v>310</v>
      </c>
      <c r="C138" s="2" t="s">
        <v>313</v>
      </c>
      <c r="D138" s="2" t="s">
        <v>314</v>
      </c>
      <c r="E138" s="6" t="s">
        <v>264</v>
      </c>
      <c r="F138" s="4" t="s">
        <v>17</v>
      </c>
      <c r="G138" s="2" t="s">
        <v>17</v>
      </c>
      <c r="H138" s="5" t="s">
        <v>18</v>
      </c>
      <c r="I138" s="2"/>
      <c r="J138" s="2"/>
      <c r="K138" s="2" t="s">
        <v>19</v>
      </c>
      <c r="L138" s="2"/>
    </row>
    <row r="139" spans="1:12" ht="52" x14ac:dyDescent="0.2">
      <c r="A139" s="2" t="s">
        <v>260</v>
      </c>
      <c r="B139" s="2" t="s">
        <v>310</v>
      </c>
      <c r="C139" s="2" t="s">
        <v>315</v>
      </c>
      <c r="D139" s="2" t="s">
        <v>316</v>
      </c>
      <c r="E139" s="6" t="s">
        <v>264</v>
      </c>
      <c r="F139" s="8" t="s">
        <v>317</v>
      </c>
      <c r="G139" s="2" t="s">
        <v>318</v>
      </c>
      <c r="H139" s="5" t="s">
        <v>18</v>
      </c>
      <c r="I139" s="2"/>
      <c r="J139" s="2"/>
      <c r="K139" s="2" t="s">
        <v>19</v>
      </c>
      <c r="L139" s="2"/>
    </row>
    <row r="140" spans="1:12" ht="52" x14ac:dyDescent="0.2">
      <c r="A140" s="2" t="s">
        <v>260</v>
      </c>
      <c r="B140" s="2" t="s">
        <v>310</v>
      </c>
      <c r="C140" s="2" t="s">
        <v>319</v>
      </c>
      <c r="D140" s="2" t="s">
        <v>320</v>
      </c>
      <c r="E140" s="6" t="s">
        <v>264</v>
      </c>
      <c r="F140" s="7" t="s">
        <v>272</v>
      </c>
      <c r="G140" s="2" t="s">
        <v>321</v>
      </c>
      <c r="H140" s="5" t="s">
        <v>18</v>
      </c>
      <c r="I140" s="2"/>
      <c r="J140" s="2"/>
      <c r="K140" s="2" t="s">
        <v>19</v>
      </c>
      <c r="L140" s="2"/>
    </row>
    <row r="141" spans="1:12" ht="52" x14ac:dyDescent="0.2">
      <c r="A141" s="2" t="s">
        <v>260</v>
      </c>
      <c r="B141" s="2" t="s">
        <v>322</v>
      </c>
      <c r="C141" s="2" t="s">
        <v>323</v>
      </c>
      <c r="D141" s="2" t="s">
        <v>324</v>
      </c>
      <c r="E141" s="6" t="s">
        <v>264</v>
      </c>
      <c r="F141" s="4" t="s">
        <v>17</v>
      </c>
      <c r="G141" s="2" t="s">
        <v>17</v>
      </c>
      <c r="H141" s="5" t="s">
        <v>18</v>
      </c>
      <c r="I141" s="2"/>
      <c r="J141" s="2"/>
      <c r="K141" s="2" t="s">
        <v>19</v>
      </c>
      <c r="L141" s="2"/>
    </row>
    <row r="142" spans="1:12" ht="52" x14ac:dyDescent="0.2">
      <c r="A142" s="2" t="s">
        <v>260</v>
      </c>
      <c r="B142" s="2" t="s">
        <v>322</v>
      </c>
      <c r="C142" s="2" t="s">
        <v>325</v>
      </c>
      <c r="D142" s="2" t="s">
        <v>326</v>
      </c>
      <c r="E142" s="6" t="s">
        <v>264</v>
      </c>
      <c r="F142" s="4" t="s">
        <v>17</v>
      </c>
      <c r="G142" s="2" t="s">
        <v>17</v>
      </c>
      <c r="H142" s="5" t="s">
        <v>18</v>
      </c>
      <c r="I142" s="2"/>
      <c r="J142" s="2"/>
      <c r="K142" s="2" t="s">
        <v>19</v>
      </c>
      <c r="L142" s="2"/>
    </row>
    <row r="143" spans="1:12" ht="39" x14ac:dyDescent="0.2">
      <c r="A143" s="2" t="s">
        <v>260</v>
      </c>
      <c r="B143" s="2" t="s">
        <v>322</v>
      </c>
      <c r="C143" s="2" t="s">
        <v>327</v>
      </c>
      <c r="D143" s="2" t="s">
        <v>328</v>
      </c>
      <c r="E143" s="6" t="s">
        <v>264</v>
      </c>
      <c r="F143" s="4" t="s">
        <v>17</v>
      </c>
      <c r="G143" s="2" t="s">
        <v>17</v>
      </c>
      <c r="H143" s="5" t="s">
        <v>18</v>
      </c>
      <c r="I143" s="2"/>
      <c r="J143" s="2"/>
      <c r="K143" s="2" t="s">
        <v>19</v>
      </c>
      <c r="L143" s="2"/>
    </row>
    <row r="144" spans="1:12" ht="26" x14ac:dyDescent="0.2">
      <c r="A144" s="2" t="s">
        <v>260</v>
      </c>
      <c r="B144" s="2" t="s">
        <v>322</v>
      </c>
      <c r="C144" s="2" t="s">
        <v>329</v>
      </c>
      <c r="D144" s="2" t="s">
        <v>330</v>
      </c>
      <c r="E144" s="6" t="s">
        <v>264</v>
      </c>
      <c r="F144" s="4" t="s">
        <v>17</v>
      </c>
      <c r="G144" s="2" t="s">
        <v>17</v>
      </c>
      <c r="H144" s="5" t="s">
        <v>18</v>
      </c>
      <c r="I144" s="2"/>
      <c r="J144" s="2"/>
      <c r="K144" s="2" t="s">
        <v>19</v>
      </c>
      <c r="L144" s="2"/>
    </row>
    <row r="145" spans="1:12" ht="39" x14ac:dyDescent="0.2">
      <c r="A145" s="2" t="s">
        <v>260</v>
      </c>
      <c r="B145" s="2" t="s">
        <v>331</v>
      </c>
      <c r="C145" s="2" t="s">
        <v>332</v>
      </c>
      <c r="D145" s="2" t="s">
        <v>333</v>
      </c>
      <c r="E145" s="6" t="s">
        <v>264</v>
      </c>
      <c r="F145" s="4" t="s">
        <v>17</v>
      </c>
      <c r="G145" s="2" t="s">
        <v>17</v>
      </c>
      <c r="H145" s="5" t="s">
        <v>18</v>
      </c>
      <c r="I145" s="2"/>
      <c r="J145" s="2"/>
      <c r="K145" s="2" t="s">
        <v>19</v>
      </c>
      <c r="L145" s="2"/>
    </row>
    <row r="146" spans="1:12" ht="39" x14ac:dyDescent="0.2">
      <c r="A146" s="2" t="s">
        <v>260</v>
      </c>
      <c r="B146" s="2" t="s">
        <v>331</v>
      </c>
      <c r="C146" s="2" t="s">
        <v>334</v>
      </c>
      <c r="D146" s="2" t="s">
        <v>335</v>
      </c>
      <c r="E146" s="6" t="s">
        <v>264</v>
      </c>
      <c r="F146" s="8" t="s">
        <v>317</v>
      </c>
      <c r="G146" s="2" t="s">
        <v>336</v>
      </c>
      <c r="H146" s="5" t="s">
        <v>18</v>
      </c>
      <c r="I146" s="2"/>
      <c r="J146" s="2"/>
      <c r="K146" s="2" t="s">
        <v>19</v>
      </c>
      <c r="L146" s="2"/>
    </row>
    <row r="147" spans="1:12" ht="52" x14ac:dyDescent="0.2">
      <c r="A147" s="2" t="s">
        <v>260</v>
      </c>
      <c r="B147" s="2" t="s">
        <v>331</v>
      </c>
      <c r="C147" s="2" t="s">
        <v>337</v>
      </c>
      <c r="D147" s="2" t="s">
        <v>338</v>
      </c>
      <c r="E147" s="6" t="s">
        <v>264</v>
      </c>
      <c r="F147" s="4" t="s">
        <v>17</v>
      </c>
      <c r="G147" s="2" t="s">
        <v>17</v>
      </c>
      <c r="H147" s="5" t="s">
        <v>18</v>
      </c>
      <c r="I147" s="2"/>
      <c r="J147" s="2"/>
      <c r="K147" s="2" t="s">
        <v>19</v>
      </c>
      <c r="L147" s="2"/>
    </row>
    <row r="148" spans="1:12" ht="39" x14ac:dyDescent="0.2">
      <c r="A148" s="2" t="s">
        <v>260</v>
      </c>
      <c r="B148" s="2" t="s">
        <v>331</v>
      </c>
      <c r="C148" s="2" t="s">
        <v>339</v>
      </c>
      <c r="D148" s="2" t="s">
        <v>340</v>
      </c>
      <c r="E148" s="6" t="s">
        <v>264</v>
      </c>
      <c r="F148" s="4" t="s">
        <v>17</v>
      </c>
      <c r="G148" s="2" t="s">
        <v>17</v>
      </c>
      <c r="H148" s="5" t="s">
        <v>18</v>
      </c>
      <c r="I148" s="2"/>
      <c r="J148" s="2"/>
      <c r="K148" s="2" t="s">
        <v>19</v>
      </c>
      <c r="L148" s="2"/>
    </row>
    <row r="149" spans="1:12" ht="52" x14ac:dyDescent="0.2">
      <c r="A149" s="2" t="s">
        <v>260</v>
      </c>
      <c r="B149" s="2" t="s">
        <v>331</v>
      </c>
      <c r="C149" s="2" t="s">
        <v>341</v>
      </c>
      <c r="D149" s="2" t="s">
        <v>342</v>
      </c>
      <c r="E149" s="6" t="s">
        <v>264</v>
      </c>
      <c r="F149" s="4" t="s">
        <v>17</v>
      </c>
      <c r="G149" s="2" t="s">
        <v>17</v>
      </c>
      <c r="H149" s="5" t="s">
        <v>18</v>
      </c>
      <c r="I149" s="2"/>
      <c r="J149" s="2"/>
      <c r="K149" s="2" t="s">
        <v>19</v>
      </c>
      <c r="L149" s="2"/>
    </row>
    <row r="150" spans="1:12" ht="52" x14ac:dyDescent="0.2">
      <c r="A150" s="2" t="s">
        <v>260</v>
      </c>
      <c r="B150" s="2" t="s">
        <v>343</v>
      </c>
      <c r="C150" s="2" t="s">
        <v>344</v>
      </c>
      <c r="D150" s="2" t="s">
        <v>345</v>
      </c>
      <c r="E150" s="6" t="s">
        <v>264</v>
      </c>
      <c r="F150" s="9" t="s">
        <v>346</v>
      </c>
      <c r="G150" s="2" t="s">
        <v>347</v>
      </c>
      <c r="H150" s="5" t="s">
        <v>18</v>
      </c>
      <c r="I150" s="2"/>
      <c r="J150" s="2"/>
      <c r="K150" s="2" t="s">
        <v>19</v>
      </c>
      <c r="L150" s="2"/>
    </row>
    <row r="151" spans="1:12" ht="26" x14ac:dyDescent="0.2">
      <c r="A151" s="2" t="s">
        <v>260</v>
      </c>
      <c r="B151" s="2" t="s">
        <v>343</v>
      </c>
      <c r="C151" s="2" t="s">
        <v>348</v>
      </c>
      <c r="D151" s="2" t="s">
        <v>349</v>
      </c>
      <c r="E151" s="6" t="s">
        <v>264</v>
      </c>
      <c r="F151" s="4" t="s">
        <v>17</v>
      </c>
      <c r="G151" s="2" t="s">
        <v>17</v>
      </c>
      <c r="H151" s="5" t="s">
        <v>18</v>
      </c>
      <c r="I151" s="2"/>
      <c r="J151" s="2"/>
      <c r="K151" s="2" t="s">
        <v>19</v>
      </c>
      <c r="L151" s="2"/>
    </row>
    <row r="152" spans="1:12" ht="39" x14ac:dyDescent="0.2">
      <c r="A152" s="2" t="s">
        <v>260</v>
      </c>
      <c r="B152" s="2" t="s">
        <v>343</v>
      </c>
      <c r="C152" s="2" t="s">
        <v>350</v>
      </c>
      <c r="D152" s="2" t="s">
        <v>351</v>
      </c>
      <c r="E152" s="6" t="s">
        <v>264</v>
      </c>
      <c r="F152" s="4" t="s">
        <v>17</v>
      </c>
      <c r="G152" s="2" t="s">
        <v>17</v>
      </c>
      <c r="H152" s="5" t="s">
        <v>18</v>
      </c>
      <c r="I152" s="2"/>
      <c r="J152" s="2"/>
      <c r="K152" s="2" t="s">
        <v>19</v>
      </c>
      <c r="L152" s="2"/>
    </row>
    <row r="153" spans="1:12" ht="52" x14ac:dyDescent="0.2">
      <c r="A153" s="2" t="s">
        <v>260</v>
      </c>
      <c r="B153" s="2" t="s">
        <v>343</v>
      </c>
      <c r="C153" s="2" t="s">
        <v>352</v>
      </c>
      <c r="D153" s="2" t="s">
        <v>353</v>
      </c>
      <c r="E153" s="6" t="s">
        <v>264</v>
      </c>
      <c r="F153" s="4" t="s">
        <v>17</v>
      </c>
      <c r="G153" s="2" t="s">
        <v>17</v>
      </c>
      <c r="H153" s="5" t="s">
        <v>18</v>
      </c>
      <c r="I153" s="2"/>
      <c r="J153" s="2"/>
      <c r="K153" s="2" t="s">
        <v>19</v>
      </c>
      <c r="L153" s="2"/>
    </row>
    <row r="154" spans="1:12" ht="39" x14ac:dyDescent="0.2">
      <c r="A154" s="2" t="s">
        <v>260</v>
      </c>
      <c r="B154" s="2" t="s">
        <v>343</v>
      </c>
      <c r="C154" s="2" t="s">
        <v>354</v>
      </c>
      <c r="D154" s="2" t="s">
        <v>355</v>
      </c>
      <c r="E154" s="6" t="s">
        <v>264</v>
      </c>
      <c r="F154" s="4" t="s">
        <v>17</v>
      </c>
      <c r="G154" s="2" t="s">
        <v>17</v>
      </c>
      <c r="H154" s="5" t="s">
        <v>18</v>
      </c>
      <c r="I154" s="2"/>
      <c r="J154" s="2"/>
      <c r="K154" s="2" t="s">
        <v>19</v>
      </c>
      <c r="L154" s="2"/>
    </row>
    <row r="155" spans="1:12" ht="39" x14ac:dyDescent="0.2">
      <c r="A155" s="2" t="s">
        <v>260</v>
      </c>
      <c r="B155" s="2" t="s">
        <v>356</v>
      </c>
      <c r="C155" s="2" t="s">
        <v>357</v>
      </c>
      <c r="D155" s="2" t="s">
        <v>358</v>
      </c>
      <c r="E155" s="6" t="s">
        <v>264</v>
      </c>
      <c r="F155" s="4" t="s">
        <v>17</v>
      </c>
      <c r="G155" s="2" t="s">
        <v>17</v>
      </c>
      <c r="H155" s="5" t="s">
        <v>18</v>
      </c>
      <c r="I155" s="2"/>
      <c r="J155" s="2"/>
      <c r="K155" s="2" t="s">
        <v>19</v>
      </c>
      <c r="L155" s="2"/>
    </row>
    <row r="156" spans="1:12" ht="52" x14ac:dyDescent="0.2">
      <c r="A156" s="2" t="s">
        <v>260</v>
      </c>
      <c r="B156" s="2" t="s">
        <v>356</v>
      </c>
      <c r="C156" s="2" t="s">
        <v>359</v>
      </c>
      <c r="D156" s="2" t="s">
        <v>360</v>
      </c>
      <c r="E156" s="6" t="s">
        <v>264</v>
      </c>
      <c r="F156" s="4" t="s">
        <v>17</v>
      </c>
      <c r="G156" s="2" t="s">
        <v>17</v>
      </c>
      <c r="H156" s="5" t="s">
        <v>18</v>
      </c>
      <c r="I156" s="2"/>
      <c r="J156" s="2"/>
      <c r="K156" s="2" t="s">
        <v>19</v>
      </c>
      <c r="L156" s="2"/>
    </row>
    <row r="157" spans="1:12" ht="39" x14ac:dyDescent="0.2">
      <c r="A157" s="2" t="s">
        <v>260</v>
      </c>
      <c r="B157" s="2" t="s">
        <v>356</v>
      </c>
      <c r="C157" s="2" t="s">
        <v>361</v>
      </c>
      <c r="D157" s="2" t="s">
        <v>362</v>
      </c>
      <c r="E157" s="6" t="s">
        <v>264</v>
      </c>
      <c r="F157" s="4" t="s">
        <v>17</v>
      </c>
      <c r="G157" s="2" t="s">
        <v>17</v>
      </c>
      <c r="H157" s="5" t="s">
        <v>18</v>
      </c>
      <c r="I157" s="2"/>
      <c r="J157" s="2"/>
      <c r="K157" s="2" t="s">
        <v>19</v>
      </c>
      <c r="L157" s="2"/>
    </row>
    <row r="158" spans="1:12" ht="39" x14ac:dyDescent="0.2">
      <c r="A158" s="2" t="s">
        <v>260</v>
      </c>
      <c r="B158" s="2" t="s">
        <v>356</v>
      </c>
      <c r="C158" s="2" t="s">
        <v>363</v>
      </c>
      <c r="D158" s="2" t="s">
        <v>364</v>
      </c>
      <c r="E158" s="6" t="s">
        <v>264</v>
      </c>
      <c r="F158" s="4" t="s">
        <v>17</v>
      </c>
      <c r="G158" s="2" t="s">
        <v>17</v>
      </c>
      <c r="H158" s="5" t="s">
        <v>18</v>
      </c>
      <c r="I158" s="2"/>
      <c r="J158" s="2"/>
      <c r="K158" s="2" t="s">
        <v>19</v>
      </c>
      <c r="L158" s="2"/>
    </row>
    <row r="159" spans="1:12" ht="39" x14ac:dyDescent="0.2">
      <c r="A159" s="2" t="s">
        <v>260</v>
      </c>
      <c r="B159" s="2" t="s">
        <v>365</v>
      </c>
      <c r="C159" s="2" t="s">
        <v>366</v>
      </c>
      <c r="D159" s="2" t="s">
        <v>367</v>
      </c>
      <c r="E159" s="6" t="s">
        <v>264</v>
      </c>
      <c r="F159" s="4" t="s">
        <v>17</v>
      </c>
      <c r="G159" s="2" t="s">
        <v>17</v>
      </c>
      <c r="H159" s="5" t="s">
        <v>18</v>
      </c>
      <c r="I159" s="2"/>
      <c r="J159" s="2"/>
      <c r="K159" s="2" t="s">
        <v>19</v>
      </c>
      <c r="L159" s="2"/>
    </row>
    <row r="160" spans="1:12" ht="39" x14ac:dyDescent="0.2">
      <c r="A160" s="2" t="s">
        <v>260</v>
      </c>
      <c r="B160" s="2" t="s">
        <v>365</v>
      </c>
      <c r="C160" s="2" t="s">
        <v>368</v>
      </c>
      <c r="D160" s="2" t="s">
        <v>369</v>
      </c>
      <c r="E160" s="6" t="s">
        <v>264</v>
      </c>
      <c r="F160" s="4" t="s">
        <v>17</v>
      </c>
      <c r="G160" s="2" t="s">
        <v>17</v>
      </c>
      <c r="H160" s="5" t="s">
        <v>18</v>
      </c>
      <c r="I160" s="2"/>
      <c r="J160" s="2"/>
      <c r="K160" s="2" t="s">
        <v>19</v>
      </c>
      <c r="L160" s="2"/>
    </row>
    <row r="161" spans="1:12" ht="39" x14ac:dyDescent="0.2">
      <c r="A161" s="2" t="s">
        <v>260</v>
      </c>
      <c r="B161" s="2" t="s">
        <v>365</v>
      </c>
      <c r="C161" s="2" t="s">
        <v>370</v>
      </c>
      <c r="D161" s="2" t="s">
        <v>371</v>
      </c>
      <c r="E161" s="6" t="s">
        <v>264</v>
      </c>
      <c r="F161" s="4" t="s">
        <v>17</v>
      </c>
      <c r="G161" s="2" t="s">
        <v>17</v>
      </c>
      <c r="H161" s="5" t="s">
        <v>18</v>
      </c>
      <c r="I161" s="2"/>
      <c r="J161" s="2"/>
      <c r="K161" s="2" t="s">
        <v>19</v>
      </c>
      <c r="L161" s="2"/>
    </row>
    <row r="162" spans="1:12" ht="52" x14ac:dyDescent="0.2">
      <c r="A162" s="2" t="s">
        <v>260</v>
      </c>
      <c r="B162" s="2" t="s">
        <v>372</v>
      </c>
      <c r="C162" s="2" t="s">
        <v>373</v>
      </c>
      <c r="D162" s="2" t="s">
        <v>374</v>
      </c>
      <c r="E162" s="6" t="s">
        <v>264</v>
      </c>
      <c r="F162" s="8" t="s">
        <v>317</v>
      </c>
      <c r="G162" s="2" t="s">
        <v>375</v>
      </c>
      <c r="H162" s="5" t="s">
        <v>18</v>
      </c>
      <c r="I162" s="2"/>
      <c r="J162" s="2"/>
      <c r="K162" s="2" t="s">
        <v>19</v>
      </c>
      <c r="L162" s="2"/>
    </row>
    <row r="163" spans="1:12" ht="52" x14ac:dyDescent="0.2">
      <c r="A163" s="2" t="s">
        <v>260</v>
      </c>
      <c r="B163" s="2" t="s">
        <v>372</v>
      </c>
      <c r="C163" s="2" t="s">
        <v>376</v>
      </c>
      <c r="D163" s="2" t="s">
        <v>377</v>
      </c>
      <c r="E163" s="6" t="s">
        <v>264</v>
      </c>
      <c r="F163" s="4" t="s">
        <v>17</v>
      </c>
      <c r="G163" s="2" t="s">
        <v>17</v>
      </c>
      <c r="H163" s="5" t="s">
        <v>18</v>
      </c>
      <c r="I163" s="2"/>
      <c r="J163" s="2"/>
      <c r="K163" s="2" t="s">
        <v>19</v>
      </c>
      <c r="L163" s="2"/>
    </row>
    <row r="164" spans="1:12" ht="39" x14ac:dyDescent="0.2">
      <c r="A164" s="2" t="s">
        <v>260</v>
      </c>
      <c r="B164" s="2" t="s">
        <v>372</v>
      </c>
      <c r="C164" s="2" t="s">
        <v>378</v>
      </c>
      <c r="D164" s="2" t="s">
        <v>379</v>
      </c>
      <c r="E164" s="6" t="s">
        <v>264</v>
      </c>
      <c r="F164" s="8" t="s">
        <v>317</v>
      </c>
      <c r="G164" s="2" t="s">
        <v>380</v>
      </c>
      <c r="H164" s="5" t="s">
        <v>18</v>
      </c>
      <c r="I164" s="2"/>
      <c r="J164" s="2"/>
      <c r="K164" s="2" t="s">
        <v>19</v>
      </c>
      <c r="L164" s="2"/>
    </row>
    <row r="165" spans="1:12" ht="39" x14ac:dyDescent="0.2">
      <c r="A165" s="2" t="s">
        <v>260</v>
      </c>
      <c r="B165" s="2" t="s">
        <v>372</v>
      </c>
      <c r="C165" s="2" t="s">
        <v>381</v>
      </c>
      <c r="D165" s="2" t="s">
        <v>382</v>
      </c>
      <c r="E165" s="6" t="s">
        <v>264</v>
      </c>
      <c r="F165" s="4" t="s">
        <v>17</v>
      </c>
      <c r="G165" s="2" t="s">
        <v>17</v>
      </c>
      <c r="H165" s="5" t="s">
        <v>18</v>
      </c>
      <c r="I165" s="2"/>
      <c r="J165" s="2"/>
      <c r="K165" s="2" t="s">
        <v>19</v>
      </c>
      <c r="L165" s="2"/>
    </row>
    <row r="166" spans="1:12" ht="52" x14ac:dyDescent="0.2">
      <c r="A166" s="2" t="s">
        <v>260</v>
      </c>
      <c r="B166" s="2" t="s">
        <v>372</v>
      </c>
      <c r="C166" s="2" t="s">
        <v>383</v>
      </c>
      <c r="D166" s="2" t="s">
        <v>384</v>
      </c>
      <c r="E166" s="6" t="s">
        <v>264</v>
      </c>
      <c r="F166" s="4" t="s">
        <v>17</v>
      </c>
      <c r="G166" s="2" t="s">
        <v>17</v>
      </c>
      <c r="H166" s="5" t="s">
        <v>18</v>
      </c>
      <c r="I166" s="2"/>
      <c r="J166" s="2"/>
      <c r="K166" s="2" t="s">
        <v>19</v>
      </c>
      <c r="L166" s="2"/>
    </row>
    <row r="167" spans="1:12" ht="52" x14ac:dyDescent="0.2">
      <c r="A167" s="2" t="s">
        <v>260</v>
      </c>
      <c r="B167" s="2" t="s">
        <v>385</v>
      </c>
      <c r="C167" s="2" t="s">
        <v>386</v>
      </c>
      <c r="D167" s="2" t="s">
        <v>387</v>
      </c>
      <c r="E167" s="6" t="s">
        <v>264</v>
      </c>
      <c r="F167" s="4" t="s">
        <v>17</v>
      </c>
      <c r="G167" s="2" t="s">
        <v>17</v>
      </c>
      <c r="H167" s="5" t="s">
        <v>18</v>
      </c>
      <c r="I167" s="2"/>
      <c r="J167" s="2"/>
      <c r="K167" s="2" t="s">
        <v>19</v>
      </c>
      <c r="L167" s="2"/>
    </row>
    <row r="168" spans="1:12" ht="39" x14ac:dyDescent="0.2">
      <c r="A168" s="2" t="s">
        <v>260</v>
      </c>
      <c r="B168" s="2" t="s">
        <v>385</v>
      </c>
      <c r="C168" s="2" t="s">
        <v>388</v>
      </c>
      <c r="D168" s="2" t="s">
        <v>389</v>
      </c>
      <c r="E168" s="6" t="s">
        <v>264</v>
      </c>
      <c r="F168" s="4" t="s">
        <v>17</v>
      </c>
      <c r="G168" s="2" t="s">
        <v>17</v>
      </c>
      <c r="H168" s="5" t="s">
        <v>18</v>
      </c>
      <c r="I168" s="2"/>
      <c r="J168" s="2"/>
      <c r="K168" s="2" t="s">
        <v>19</v>
      </c>
      <c r="L168" s="2"/>
    </row>
    <row r="169" spans="1:12" ht="39" x14ac:dyDescent="0.2">
      <c r="A169" s="2" t="s">
        <v>260</v>
      </c>
      <c r="B169" s="2" t="s">
        <v>385</v>
      </c>
      <c r="C169" s="2" t="s">
        <v>390</v>
      </c>
      <c r="D169" s="2" t="s">
        <v>391</v>
      </c>
      <c r="E169" s="6" t="s">
        <v>264</v>
      </c>
      <c r="F169" s="4" t="s">
        <v>17</v>
      </c>
      <c r="G169" s="2" t="s">
        <v>17</v>
      </c>
      <c r="H169" s="5" t="s">
        <v>18</v>
      </c>
      <c r="I169" s="2"/>
      <c r="J169" s="2"/>
      <c r="K169" s="2" t="s">
        <v>19</v>
      </c>
      <c r="L169" s="2"/>
    </row>
    <row r="170" spans="1:12" ht="65" x14ac:dyDescent="0.2">
      <c r="A170" s="2" t="s">
        <v>392</v>
      </c>
      <c r="B170" s="2" t="s">
        <v>393</v>
      </c>
      <c r="C170" s="2" t="s">
        <v>394</v>
      </c>
      <c r="D170" s="2" t="s">
        <v>395</v>
      </c>
      <c r="E170" s="6" t="s">
        <v>264</v>
      </c>
      <c r="F170" s="9" t="s">
        <v>346</v>
      </c>
      <c r="G170" s="2" t="s">
        <v>396</v>
      </c>
      <c r="H170" s="5" t="s">
        <v>18</v>
      </c>
      <c r="I170" s="2"/>
      <c r="J170" s="2"/>
      <c r="K170" s="2" t="s">
        <v>19</v>
      </c>
      <c r="L170" s="2"/>
    </row>
    <row r="171" spans="1:12" ht="39" x14ac:dyDescent="0.2">
      <c r="A171" s="2" t="s">
        <v>392</v>
      </c>
      <c r="B171" s="2" t="s">
        <v>393</v>
      </c>
      <c r="C171" s="2" t="s">
        <v>397</v>
      </c>
      <c r="D171" s="28" t="s">
        <v>398</v>
      </c>
      <c r="E171" s="6" t="s">
        <v>264</v>
      </c>
      <c r="F171" s="4" t="s">
        <v>17</v>
      </c>
      <c r="G171" s="2" t="s">
        <v>17</v>
      </c>
      <c r="H171" s="5" t="s">
        <v>18</v>
      </c>
      <c r="I171" s="2"/>
      <c r="J171" s="2" t="s">
        <v>2452</v>
      </c>
      <c r="K171" s="2" t="s">
        <v>19</v>
      </c>
      <c r="L171" s="2"/>
    </row>
    <row r="172" spans="1:12" ht="52" x14ac:dyDescent="0.2">
      <c r="A172" s="2" t="s">
        <v>392</v>
      </c>
      <c r="B172" s="2" t="s">
        <v>393</v>
      </c>
      <c r="C172" s="2" t="s">
        <v>399</v>
      </c>
      <c r="D172" s="2" t="s">
        <v>400</v>
      </c>
      <c r="E172" s="6" t="s">
        <v>264</v>
      </c>
      <c r="F172" s="8" t="s">
        <v>317</v>
      </c>
      <c r="G172" s="2" t="s">
        <v>401</v>
      </c>
      <c r="H172" s="5" t="s">
        <v>18</v>
      </c>
      <c r="I172" s="2"/>
      <c r="J172" s="2"/>
      <c r="K172" s="2" t="s">
        <v>19</v>
      </c>
      <c r="L172" s="2"/>
    </row>
    <row r="173" spans="1:12" ht="39" x14ac:dyDescent="0.2">
      <c r="A173" s="2" t="s">
        <v>392</v>
      </c>
      <c r="B173" s="2" t="s">
        <v>393</v>
      </c>
      <c r="C173" s="2" t="s">
        <v>402</v>
      </c>
      <c r="D173" s="2" t="s">
        <v>403</v>
      </c>
      <c r="E173" s="6" t="s">
        <v>264</v>
      </c>
      <c r="F173" s="4" t="s">
        <v>17</v>
      </c>
      <c r="G173" s="2" t="s">
        <v>17</v>
      </c>
      <c r="H173" s="5" t="s">
        <v>18</v>
      </c>
      <c r="I173" s="2"/>
      <c r="J173" s="2"/>
      <c r="K173" s="2" t="s">
        <v>19</v>
      </c>
      <c r="L173" s="2"/>
    </row>
    <row r="174" spans="1:12" ht="52" x14ac:dyDescent="0.2">
      <c r="A174" s="2" t="s">
        <v>392</v>
      </c>
      <c r="B174" s="2" t="s">
        <v>404</v>
      </c>
      <c r="C174" s="2" t="s">
        <v>405</v>
      </c>
      <c r="D174" s="2" t="s">
        <v>406</v>
      </c>
      <c r="E174" s="6" t="s">
        <v>264</v>
      </c>
      <c r="F174" s="4" t="s">
        <v>17</v>
      </c>
      <c r="G174" s="2" t="s">
        <v>17</v>
      </c>
      <c r="H174" s="5" t="s">
        <v>18</v>
      </c>
      <c r="I174" s="2"/>
      <c r="J174" s="2"/>
      <c r="K174" s="2" t="s">
        <v>19</v>
      </c>
      <c r="L174" s="2"/>
    </row>
    <row r="175" spans="1:12" ht="52" x14ac:dyDescent="0.2">
      <c r="A175" s="2" t="s">
        <v>392</v>
      </c>
      <c r="B175" s="2" t="s">
        <v>404</v>
      </c>
      <c r="C175" s="2" t="s">
        <v>407</v>
      </c>
      <c r="D175" s="2" t="s">
        <v>408</v>
      </c>
      <c r="E175" s="6" t="s">
        <v>264</v>
      </c>
      <c r="F175" s="4" t="s">
        <v>17</v>
      </c>
      <c r="G175" s="2" t="s">
        <v>17</v>
      </c>
      <c r="H175" s="5" t="s">
        <v>18</v>
      </c>
      <c r="I175" s="2"/>
      <c r="J175" s="2"/>
      <c r="K175" s="2" t="s">
        <v>19</v>
      </c>
      <c r="L175" s="2"/>
    </row>
    <row r="176" spans="1:12" ht="52" x14ac:dyDescent="0.2">
      <c r="A176" s="2" t="s">
        <v>392</v>
      </c>
      <c r="B176" s="2" t="s">
        <v>404</v>
      </c>
      <c r="C176" s="2" t="s">
        <v>409</v>
      </c>
      <c r="D176" s="2" t="s">
        <v>410</v>
      </c>
      <c r="E176" s="6" t="s">
        <v>264</v>
      </c>
      <c r="F176" s="4" t="s">
        <v>17</v>
      </c>
      <c r="G176" s="2" t="s">
        <v>17</v>
      </c>
      <c r="H176" s="5" t="s">
        <v>18</v>
      </c>
      <c r="I176" s="2"/>
      <c r="J176" s="2"/>
      <c r="K176" s="2" t="s">
        <v>19</v>
      </c>
      <c r="L176" s="2"/>
    </row>
    <row r="177" spans="1:12" ht="52" x14ac:dyDescent="0.2">
      <c r="A177" s="2" t="s">
        <v>392</v>
      </c>
      <c r="B177" s="2" t="s">
        <v>411</v>
      </c>
      <c r="C177" s="2" t="s">
        <v>412</v>
      </c>
      <c r="D177" s="2" t="s">
        <v>413</v>
      </c>
      <c r="E177" s="6" t="s">
        <v>264</v>
      </c>
      <c r="F177" s="4" t="s">
        <v>17</v>
      </c>
      <c r="G177" s="2" t="s">
        <v>17</v>
      </c>
      <c r="H177" s="5" t="s">
        <v>18</v>
      </c>
      <c r="I177" s="2"/>
      <c r="J177" s="2"/>
      <c r="K177" s="2" t="s">
        <v>19</v>
      </c>
      <c r="L177" s="2"/>
    </row>
    <row r="178" spans="1:12" ht="52" x14ac:dyDescent="0.2">
      <c r="A178" s="2" t="s">
        <v>392</v>
      </c>
      <c r="B178" s="2" t="s">
        <v>411</v>
      </c>
      <c r="C178" s="2" t="s">
        <v>414</v>
      </c>
      <c r="D178" s="2" t="s">
        <v>415</v>
      </c>
      <c r="E178" s="6" t="s">
        <v>264</v>
      </c>
      <c r="F178" s="4" t="s">
        <v>17</v>
      </c>
      <c r="G178" s="2" t="s">
        <v>17</v>
      </c>
      <c r="H178" s="5" t="s">
        <v>18</v>
      </c>
      <c r="I178" s="2"/>
      <c r="J178" s="2"/>
      <c r="K178" s="2" t="s">
        <v>19</v>
      </c>
      <c r="L178" s="2"/>
    </row>
    <row r="179" spans="1:12" ht="52" x14ac:dyDescent="0.2">
      <c r="A179" s="2" t="s">
        <v>392</v>
      </c>
      <c r="B179" s="2" t="s">
        <v>411</v>
      </c>
      <c r="C179" s="2" t="s">
        <v>416</v>
      </c>
      <c r="D179" s="2" t="s">
        <v>417</v>
      </c>
      <c r="E179" s="6" t="s">
        <v>264</v>
      </c>
      <c r="F179" s="4" t="s">
        <v>17</v>
      </c>
      <c r="G179" s="2" t="s">
        <v>17</v>
      </c>
      <c r="H179" s="5" t="s">
        <v>18</v>
      </c>
      <c r="I179" s="2"/>
      <c r="J179" s="2"/>
      <c r="K179" s="2" t="s">
        <v>19</v>
      </c>
      <c r="L179" s="2"/>
    </row>
    <row r="180" spans="1:12" ht="52" x14ac:dyDescent="0.2">
      <c r="A180" s="2" t="s">
        <v>392</v>
      </c>
      <c r="B180" s="2" t="s">
        <v>411</v>
      </c>
      <c r="C180" s="2" t="s">
        <v>418</v>
      </c>
      <c r="D180" s="2" t="s">
        <v>419</v>
      </c>
      <c r="E180" s="6" t="s">
        <v>264</v>
      </c>
      <c r="F180" s="4" t="s">
        <v>17</v>
      </c>
      <c r="G180" s="2" t="s">
        <v>17</v>
      </c>
      <c r="H180" s="5" t="s">
        <v>18</v>
      </c>
      <c r="I180" s="2"/>
      <c r="J180" s="2"/>
      <c r="K180" s="2" t="s">
        <v>19</v>
      </c>
      <c r="L180" s="2"/>
    </row>
    <row r="181" spans="1:12" ht="39" x14ac:dyDescent="0.2">
      <c r="A181" s="2" t="s">
        <v>392</v>
      </c>
      <c r="B181" s="2" t="s">
        <v>411</v>
      </c>
      <c r="C181" s="2" t="s">
        <v>420</v>
      </c>
      <c r="D181" s="2" t="s">
        <v>421</v>
      </c>
      <c r="E181" s="6" t="s">
        <v>264</v>
      </c>
      <c r="F181" s="4" t="s">
        <v>17</v>
      </c>
      <c r="G181" s="2" t="s">
        <v>17</v>
      </c>
      <c r="H181" s="5" t="s">
        <v>18</v>
      </c>
      <c r="I181" s="2"/>
      <c r="J181" s="2"/>
      <c r="K181" s="2" t="s">
        <v>19</v>
      </c>
      <c r="L181" s="2"/>
    </row>
    <row r="182" spans="1:12" ht="52" x14ac:dyDescent="0.2">
      <c r="A182" s="2" t="s">
        <v>392</v>
      </c>
      <c r="B182" s="2" t="s">
        <v>422</v>
      </c>
      <c r="C182" s="2" t="s">
        <v>423</v>
      </c>
      <c r="D182" s="2" t="s">
        <v>424</v>
      </c>
      <c r="E182" s="6" t="s">
        <v>264</v>
      </c>
      <c r="F182" s="8" t="s">
        <v>317</v>
      </c>
      <c r="G182" s="2" t="s">
        <v>425</v>
      </c>
      <c r="H182" s="5" t="s">
        <v>18</v>
      </c>
      <c r="I182" s="2"/>
      <c r="J182" s="2"/>
      <c r="K182" s="2" t="s">
        <v>19</v>
      </c>
      <c r="L182" s="2"/>
    </row>
    <row r="183" spans="1:12" ht="39" x14ac:dyDescent="0.2">
      <c r="A183" s="2" t="s">
        <v>392</v>
      </c>
      <c r="B183" s="2" t="s">
        <v>422</v>
      </c>
      <c r="C183" s="2" t="s">
        <v>426</v>
      </c>
      <c r="D183" s="2" t="s">
        <v>427</v>
      </c>
      <c r="E183" s="6" t="s">
        <v>264</v>
      </c>
      <c r="F183" s="4" t="s">
        <v>17</v>
      </c>
      <c r="G183" s="2" t="s">
        <v>17</v>
      </c>
      <c r="H183" s="5" t="s">
        <v>18</v>
      </c>
      <c r="I183" s="2"/>
      <c r="J183" s="2"/>
      <c r="K183" s="2" t="s">
        <v>19</v>
      </c>
      <c r="L183" s="2"/>
    </row>
    <row r="184" spans="1:12" ht="52" x14ac:dyDescent="0.2">
      <c r="A184" s="2" t="s">
        <v>392</v>
      </c>
      <c r="B184" s="2" t="s">
        <v>422</v>
      </c>
      <c r="C184" s="2" t="s">
        <v>428</v>
      </c>
      <c r="D184" s="2" t="s">
        <v>429</v>
      </c>
      <c r="E184" s="6" t="s">
        <v>264</v>
      </c>
      <c r="F184" s="4" t="s">
        <v>17</v>
      </c>
      <c r="G184" s="2" t="s">
        <v>17</v>
      </c>
      <c r="H184" s="5" t="s">
        <v>18</v>
      </c>
      <c r="I184" s="2"/>
      <c r="J184" s="2"/>
      <c r="K184" s="2" t="s">
        <v>19</v>
      </c>
      <c r="L184" s="2"/>
    </row>
    <row r="185" spans="1:12" ht="39" x14ac:dyDescent="0.2">
      <c r="A185" s="2" t="s">
        <v>392</v>
      </c>
      <c r="B185" s="2" t="s">
        <v>422</v>
      </c>
      <c r="C185" s="2" t="s">
        <v>430</v>
      </c>
      <c r="D185" s="2" t="s">
        <v>431</v>
      </c>
      <c r="E185" s="6" t="s">
        <v>264</v>
      </c>
      <c r="F185" s="4" t="s">
        <v>17</v>
      </c>
      <c r="G185" s="2" t="s">
        <v>17</v>
      </c>
      <c r="H185" s="5" t="s">
        <v>18</v>
      </c>
      <c r="I185" s="2"/>
      <c r="J185" s="2"/>
      <c r="K185" s="2" t="s">
        <v>19</v>
      </c>
      <c r="L185" s="2"/>
    </row>
    <row r="186" spans="1:12" ht="39" x14ac:dyDescent="0.2">
      <c r="A186" s="2" t="s">
        <v>392</v>
      </c>
      <c r="B186" s="2" t="s">
        <v>432</v>
      </c>
      <c r="C186" s="2" t="s">
        <v>433</v>
      </c>
      <c r="D186" s="2" t="s">
        <v>434</v>
      </c>
      <c r="E186" s="6" t="s">
        <v>264</v>
      </c>
      <c r="F186" s="4" t="s">
        <v>17</v>
      </c>
      <c r="G186" s="2" t="s">
        <v>17</v>
      </c>
      <c r="H186" s="5" t="s">
        <v>18</v>
      </c>
      <c r="I186" s="2"/>
      <c r="J186" s="2"/>
      <c r="K186" s="2" t="s">
        <v>19</v>
      </c>
      <c r="L186" s="2"/>
    </row>
    <row r="187" spans="1:12" ht="39" x14ac:dyDescent="0.2">
      <c r="A187" s="2" t="s">
        <v>392</v>
      </c>
      <c r="B187" s="2" t="s">
        <v>432</v>
      </c>
      <c r="C187" s="2" t="s">
        <v>435</v>
      </c>
      <c r="D187" s="2" t="s">
        <v>436</v>
      </c>
      <c r="E187" s="6" t="s">
        <v>264</v>
      </c>
      <c r="F187" s="4" t="s">
        <v>17</v>
      </c>
      <c r="G187" s="2" t="s">
        <v>17</v>
      </c>
      <c r="H187" s="5" t="s">
        <v>18</v>
      </c>
      <c r="I187" s="2"/>
      <c r="J187" s="2"/>
      <c r="K187" s="2" t="s">
        <v>19</v>
      </c>
      <c r="L187" s="2"/>
    </row>
    <row r="188" spans="1:12" ht="39" x14ac:dyDescent="0.2">
      <c r="A188" s="2" t="s">
        <v>392</v>
      </c>
      <c r="B188" s="2" t="s">
        <v>432</v>
      </c>
      <c r="C188" s="2" t="s">
        <v>437</v>
      </c>
      <c r="D188" s="2" t="s">
        <v>438</v>
      </c>
      <c r="E188" s="6" t="s">
        <v>264</v>
      </c>
      <c r="F188" s="4" t="s">
        <v>17</v>
      </c>
      <c r="G188" s="2" t="s">
        <v>17</v>
      </c>
      <c r="H188" s="5" t="s">
        <v>18</v>
      </c>
      <c r="I188" s="2"/>
      <c r="J188" s="2"/>
      <c r="K188" s="2" t="s">
        <v>19</v>
      </c>
      <c r="L188" s="2"/>
    </row>
    <row r="189" spans="1:12" ht="52" x14ac:dyDescent="0.2">
      <c r="A189" s="2" t="s">
        <v>392</v>
      </c>
      <c r="B189" s="2" t="s">
        <v>432</v>
      </c>
      <c r="C189" s="2" t="s">
        <v>439</v>
      </c>
      <c r="D189" s="2" t="s">
        <v>440</v>
      </c>
      <c r="E189" s="6" t="s">
        <v>264</v>
      </c>
      <c r="F189" s="4" t="s">
        <v>17</v>
      </c>
      <c r="G189" s="2" t="s">
        <v>17</v>
      </c>
      <c r="H189" s="5" t="s">
        <v>18</v>
      </c>
      <c r="I189" s="2"/>
      <c r="J189" s="2"/>
      <c r="K189" s="2" t="s">
        <v>19</v>
      </c>
      <c r="L189" s="2"/>
    </row>
    <row r="190" spans="1:12" ht="52" x14ac:dyDescent="0.2">
      <c r="A190" s="2" t="s">
        <v>392</v>
      </c>
      <c r="B190" s="2" t="s">
        <v>432</v>
      </c>
      <c r="C190" s="2" t="s">
        <v>441</v>
      </c>
      <c r="D190" s="2" t="s">
        <v>442</v>
      </c>
      <c r="E190" s="6" t="s">
        <v>264</v>
      </c>
      <c r="F190" s="4" t="s">
        <v>17</v>
      </c>
      <c r="G190" s="2" t="s">
        <v>17</v>
      </c>
      <c r="H190" s="5" t="s">
        <v>18</v>
      </c>
      <c r="I190" s="2"/>
      <c r="J190" s="2"/>
      <c r="K190" s="2" t="s">
        <v>19</v>
      </c>
      <c r="L190" s="2"/>
    </row>
    <row r="191" spans="1:12" ht="39" x14ac:dyDescent="0.2">
      <c r="A191" s="2" t="s">
        <v>392</v>
      </c>
      <c r="B191" s="2" t="s">
        <v>432</v>
      </c>
      <c r="C191" s="2" t="s">
        <v>443</v>
      </c>
      <c r="D191" s="2" t="s">
        <v>444</v>
      </c>
      <c r="E191" s="6" t="s">
        <v>264</v>
      </c>
      <c r="F191" s="4" t="s">
        <v>17</v>
      </c>
      <c r="G191" s="2" t="s">
        <v>17</v>
      </c>
      <c r="H191" s="5" t="s">
        <v>18</v>
      </c>
      <c r="I191" s="2"/>
      <c r="J191" s="2"/>
      <c r="K191" s="2" t="s">
        <v>19</v>
      </c>
      <c r="L191" s="2"/>
    </row>
    <row r="192" spans="1:12" ht="39" x14ac:dyDescent="0.2">
      <c r="A192" s="2" t="s">
        <v>392</v>
      </c>
      <c r="B192" s="2" t="s">
        <v>432</v>
      </c>
      <c r="C192" s="2" t="s">
        <v>445</v>
      </c>
      <c r="D192" s="28" t="s">
        <v>446</v>
      </c>
      <c r="E192" s="6" t="s">
        <v>264</v>
      </c>
      <c r="F192" s="4" t="s">
        <v>17</v>
      </c>
      <c r="G192" s="2" t="s">
        <v>17</v>
      </c>
      <c r="H192" s="5" t="s">
        <v>18</v>
      </c>
      <c r="I192" s="2"/>
      <c r="J192" s="2" t="s">
        <v>2452</v>
      </c>
      <c r="K192" s="2" t="s">
        <v>19</v>
      </c>
      <c r="L192" s="2"/>
    </row>
    <row r="193" spans="1:12" ht="39" x14ac:dyDescent="0.2">
      <c r="A193" s="2" t="s">
        <v>392</v>
      </c>
      <c r="B193" s="2" t="s">
        <v>432</v>
      </c>
      <c r="C193" s="2" t="s">
        <v>447</v>
      </c>
      <c r="D193" s="2" t="s">
        <v>448</v>
      </c>
      <c r="E193" s="6" t="s">
        <v>264</v>
      </c>
      <c r="F193" s="4" t="s">
        <v>17</v>
      </c>
      <c r="G193" s="2" t="s">
        <v>17</v>
      </c>
      <c r="H193" s="5" t="s">
        <v>18</v>
      </c>
      <c r="I193" s="2"/>
      <c r="J193" s="2"/>
      <c r="K193" s="2" t="s">
        <v>19</v>
      </c>
      <c r="L193" s="2"/>
    </row>
    <row r="194" spans="1:12" ht="52" x14ac:dyDescent="0.2">
      <c r="A194" s="2" t="s">
        <v>392</v>
      </c>
      <c r="B194" s="2" t="s">
        <v>449</v>
      </c>
      <c r="C194" s="2" t="s">
        <v>450</v>
      </c>
      <c r="D194" s="2" t="s">
        <v>451</v>
      </c>
      <c r="E194" s="6" t="s">
        <v>264</v>
      </c>
      <c r="F194" s="4" t="s">
        <v>17</v>
      </c>
      <c r="G194" s="2" t="s">
        <v>17</v>
      </c>
      <c r="H194" s="5" t="s">
        <v>18</v>
      </c>
      <c r="I194" s="2"/>
      <c r="J194" s="2"/>
      <c r="K194" s="2" t="s">
        <v>19</v>
      </c>
      <c r="L194" s="2"/>
    </row>
    <row r="195" spans="1:12" ht="91" x14ac:dyDescent="0.2">
      <c r="A195" s="2" t="s">
        <v>392</v>
      </c>
      <c r="B195" s="2" t="s">
        <v>449</v>
      </c>
      <c r="C195" s="2" t="s">
        <v>452</v>
      </c>
      <c r="D195" s="28" t="s">
        <v>453</v>
      </c>
      <c r="E195" s="6" t="s">
        <v>264</v>
      </c>
      <c r="F195" s="9" t="s">
        <v>346</v>
      </c>
      <c r="G195" s="2" t="s">
        <v>454</v>
      </c>
      <c r="H195" s="5" t="s">
        <v>2398</v>
      </c>
      <c r="I195" s="2" t="s">
        <v>2454</v>
      </c>
      <c r="J195" s="2" t="s">
        <v>2453</v>
      </c>
      <c r="K195" s="2" t="s">
        <v>19</v>
      </c>
      <c r="L195" s="2"/>
    </row>
    <row r="196" spans="1:12" ht="52" x14ac:dyDescent="0.2">
      <c r="A196" s="2" t="s">
        <v>392</v>
      </c>
      <c r="B196" s="2" t="s">
        <v>449</v>
      </c>
      <c r="C196" s="2" t="s">
        <v>455</v>
      </c>
      <c r="D196" s="2" t="s">
        <v>456</v>
      </c>
      <c r="E196" s="6" t="s">
        <v>264</v>
      </c>
      <c r="F196" s="4" t="s">
        <v>17</v>
      </c>
      <c r="G196" s="2" t="s">
        <v>17</v>
      </c>
      <c r="H196" s="5" t="s">
        <v>18</v>
      </c>
      <c r="I196" s="2"/>
      <c r="J196" s="2"/>
      <c r="K196" s="2" t="s">
        <v>19</v>
      </c>
      <c r="L196" s="2"/>
    </row>
    <row r="197" spans="1:12" ht="39" x14ac:dyDescent="0.2">
      <c r="A197" s="2" t="s">
        <v>392</v>
      </c>
      <c r="B197" s="2" t="s">
        <v>449</v>
      </c>
      <c r="C197" s="2" t="s">
        <v>457</v>
      </c>
      <c r="D197" s="2" t="s">
        <v>458</v>
      </c>
      <c r="E197" s="6" t="s">
        <v>264</v>
      </c>
      <c r="F197" s="4" t="s">
        <v>17</v>
      </c>
      <c r="G197" s="2" t="s">
        <v>17</v>
      </c>
      <c r="H197" s="5" t="s">
        <v>18</v>
      </c>
      <c r="I197" s="2"/>
      <c r="J197" s="2"/>
      <c r="K197" s="2" t="s">
        <v>19</v>
      </c>
      <c r="L197" s="2"/>
    </row>
    <row r="198" spans="1:12" ht="39" x14ac:dyDescent="0.2">
      <c r="A198" s="2" t="s">
        <v>392</v>
      </c>
      <c r="B198" s="2" t="s">
        <v>449</v>
      </c>
      <c r="C198" s="2" t="s">
        <v>459</v>
      </c>
      <c r="D198" s="2" t="s">
        <v>460</v>
      </c>
      <c r="E198" s="6" t="s">
        <v>264</v>
      </c>
      <c r="F198" s="4" t="s">
        <v>17</v>
      </c>
      <c r="G198" s="2" t="s">
        <v>17</v>
      </c>
      <c r="H198" s="5" t="s">
        <v>18</v>
      </c>
      <c r="I198" s="2"/>
      <c r="J198" s="2"/>
      <c r="K198" s="2" t="s">
        <v>19</v>
      </c>
      <c r="L198" s="2"/>
    </row>
    <row r="199" spans="1:12" ht="39" x14ac:dyDescent="0.2">
      <c r="A199" s="2" t="s">
        <v>392</v>
      </c>
      <c r="B199" s="2" t="s">
        <v>449</v>
      </c>
      <c r="C199" s="2" t="s">
        <v>461</v>
      </c>
      <c r="D199" s="2" t="s">
        <v>462</v>
      </c>
      <c r="E199" s="6" t="s">
        <v>264</v>
      </c>
      <c r="F199" s="4" t="s">
        <v>17</v>
      </c>
      <c r="G199" s="2" t="s">
        <v>17</v>
      </c>
      <c r="H199" s="5" t="s">
        <v>18</v>
      </c>
      <c r="I199" s="2"/>
      <c r="J199" s="2"/>
      <c r="K199" s="2" t="s">
        <v>19</v>
      </c>
      <c r="L199" s="2"/>
    </row>
    <row r="200" spans="1:12" ht="39" x14ac:dyDescent="0.2">
      <c r="A200" s="2" t="s">
        <v>392</v>
      </c>
      <c r="B200" s="2" t="s">
        <v>449</v>
      </c>
      <c r="C200" s="2" t="s">
        <v>463</v>
      </c>
      <c r="D200" s="2" t="s">
        <v>464</v>
      </c>
      <c r="E200" s="6" t="s">
        <v>264</v>
      </c>
      <c r="F200" s="4" t="s">
        <v>17</v>
      </c>
      <c r="G200" s="2" t="s">
        <v>17</v>
      </c>
      <c r="H200" s="5" t="s">
        <v>18</v>
      </c>
      <c r="I200" s="2"/>
      <c r="J200" s="2"/>
      <c r="K200" s="2" t="s">
        <v>19</v>
      </c>
      <c r="L200" s="2"/>
    </row>
    <row r="201" spans="1:12" ht="65" x14ac:dyDescent="0.2">
      <c r="A201" s="2" t="s">
        <v>392</v>
      </c>
      <c r="B201" s="2" t="s">
        <v>465</v>
      </c>
      <c r="C201" s="2" t="s">
        <v>466</v>
      </c>
      <c r="D201" s="2" t="s">
        <v>467</v>
      </c>
      <c r="E201" s="6" t="s">
        <v>264</v>
      </c>
      <c r="F201" s="9" t="s">
        <v>346</v>
      </c>
      <c r="G201" s="2" t="s">
        <v>468</v>
      </c>
      <c r="H201" s="5" t="s">
        <v>18</v>
      </c>
      <c r="I201" s="2"/>
      <c r="J201" s="2"/>
      <c r="K201" s="2" t="s">
        <v>19</v>
      </c>
      <c r="L201" s="2"/>
    </row>
    <row r="202" spans="1:12" ht="52" x14ac:dyDescent="0.2">
      <c r="A202" s="2" t="s">
        <v>392</v>
      </c>
      <c r="B202" s="2" t="s">
        <v>465</v>
      </c>
      <c r="C202" s="2" t="s">
        <v>469</v>
      </c>
      <c r="D202" s="2" t="s">
        <v>470</v>
      </c>
      <c r="E202" s="6" t="s">
        <v>264</v>
      </c>
      <c r="F202" s="4" t="s">
        <v>17</v>
      </c>
      <c r="G202" s="2" t="s">
        <v>17</v>
      </c>
      <c r="H202" s="5" t="s">
        <v>18</v>
      </c>
      <c r="I202" s="2"/>
      <c r="J202" s="2"/>
      <c r="K202" s="2" t="s">
        <v>19</v>
      </c>
      <c r="L202" s="2"/>
    </row>
    <row r="203" spans="1:12" ht="39" x14ac:dyDescent="0.2">
      <c r="A203" s="2" t="s">
        <v>392</v>
      </c>
      <c r="B203" s="2" t="s">
        <v>465</v>
      </c>
      <c r="C203" s="2" t="s">
        <v>471</v>
      </c>
      <c r="D203" s="2" t="s">
        <v>472</v>
      </c>
      <c r="E203" s="6" t="s">
        <v>264</v>
      </c>
      <c r="F203" s="4" t="s">
        <v>17</v>
      </c>
      <c r="G203" s="2" t="s">
        <v>17</v>
      </c>
      <c r="H203" s="5" t="s">
        <v>18</v>
      </c>
      <c r="I203" s="2"/>
      <c r="J203" s="2"/>
      <c r="K203" s="2" t="s">
        <v>19</v>
      </c>
      <c r="L203" s="2"/>
    </row>
    <row r="204" spans="1:12" ht="39" x14ac:dyDescent="0.2">
      <c r="A204" s="2" t="s">
        <v>392</v>
      </c>
      <c r="B204" s="2" t="s">
        <v>465</v>
      </c>
      <c r="C204" s="2" t="s">
        <v>473</v>
      </c>
      <c r="D204" s="2" t="s">
        <v>474</v>
      </c>
      <c r="E204" s="6" t="s">
        <v>264</v>
      </c>
      <c r="F204" s="4" t="s">
        <v>17</v>
      </c>
      <c r="G204" s="2" t="s">
        <v>17</v>
      </c>
      <c r="H204" s="5" t="s">
        <v>18</v>
      </c>
      <c r="I204" s="2"/>
      <c r="J204" s="2"/>
      <c r="K204" s="2" t="s">
        <v>19</v>
      </c>
      <c r="L204" s="2"/>
    </row>
    <row r="205" spans="1:12" ht="65" x14ac:dyDescent="0.2">
      <c r="A205" s="2" t="s">
        <v>392</v>
      </c>
      <c r="B205" s="2" t="s">
        <v>475</v>
      </c>
      <c r="C205" s="2" t="s">
        <v>476</v>
      </c>
      <c r="D205" s="2" t="s">
        <v>477</v>
      </c>
      <c r="E205" s="6" t="s">
        <v>264</v>
      </c>
      <c r="F205" s="4" t="s">
        <v>17</v>
      </c>
      <c r="G205" s="2" t="s">
        <v>17</v>
      </c>
      <c r="H205" s="5" t="s">
        <v>18</v>
      </c>
      <c r="I205" s="2"/>
      <c r="J205" s="2"/>
      <c r="K205" s="2" t="s">
        <v>19</v>
      </c>
      <c r="L205" s="2"/>
    </row>
    <row r="206" spans="1:12" ht="39" x14ac:dyDescent="0.2">
      <c r="A206" s="2" t="s">
        <v>392</v>
      </c>
      <c r="B206" s="2" t="s">
        <v>475</v>
      </c>
      <c r="C206" s="2" t="s">
        <v>478</v>
      </c>
      <c r="D206" s="2" t="s">
        <v>479</v>
      </c>
      <c r="E206" s="6" t="s">
        <v>264</v>
      </c>
      <c r="F206" s="4" t="s">
        <v>17</v>
      </c>
      <c r="G206" s="2" t="s">
        <v>17</v>
      </c>
      <c r="H206" s="5" t="s">
        <v>18</v>
      </c>
      <c r="I206" s="2"/>
      <c r="J206" s="2"/>
      <c r="K206" s="2" t="s">
        <v>19</v>
      </c>
      <c r="L206" s="2"/>
    </row>
    <row r="207" spans="1:12" ht="52" x14ac:dyDescent="0.2">
      <c r="A207" s="2" t="s">
        <v>480</v>
      </c>
      <c r="B207" s="2" t="s">
        <v>481</v>
      </c>
      <c r="C207" s="2" t="s">
        <v>482</v>
      </c>
      <c r="D207" s="2" t="s">
        <v>483</v>
      </c>
      <c r="E207" s="6" t="s">
        <v>264</v>
      </c>
      <c r="F207" s="9" t="s">
        <v>346</v>
      </c>
      <c r="G207" s="2" t="s">
        <v>484</v>
      </c>
      <c r="H207" s="5" t="s">
        <v>18</v>
      </c>
      <c r="I207" s="2"/>
      <c r="J207" s="2"/>
      <c r="K207" s="2" t="s">
        <v>19</v>
      </c>
      <c r="L207" s="2"/>
    </row>
    <row r="208" spans="1:12" ht="52" x14ac:dyDescent="0.2">
      <c r="A208" s="2" t="s">
        <v>480</v>
      </c>
      <c r="B208" s="2" t="s">
        <v>481</v>
      </c>
      <c r="C208" s="2" t="s">
        <v>485</v>
      </c>
      <c r="D208" s="2" t="s">
        <v>486</v>
      </c>
      <c r="E208" s="6" t="s">
        <v>264</v>
      </c>
      <c r="F208" s="4" t="s">
        <v>17</v>
      </c>
      <c r="G208" s="2" t="s">
        <v>17</v>
      </c>
      <c r="H208" s="5" t="s">
        <v>18</v>
      </c>
      <c r="I208" s="2"/>
      <c r="J208" s="2"/>
      <c r="K208" s="2" t="s">
        <v>19</v>
      </c>
      <c r="L208" s="2"/>
    </row>
    <row r="209" spans="1:12" ht="39" x14ac:dyDescent="0.2">
      <c r="A209" s="2" t="s">
        <v>480</v>
      </c>
      <c r="B209" s="2" t="s">
        <v>481</v>
      </c>
      <c r="C209" s="2" t="s">
        <v>487</v>
      </c>
      <c r="D209" s="2" t="s">
        <v>488</v>
      </c>
      <c r="E209" s="6" t="s">
        <v>264</v>
      </c>
      <c r="F209" s="4" t="s">
        <v>17</v>
      </c>
      <c r="G209" s="2" t="s">
        <v>17</v>
      </c>
      <c r="H209" s="5" t="s">
        <v>18</v>
      </c>
      <c r="I209" s="2"/>
      <c r="J209" s="2"/>
      <c r="K209" s="2" t="s">
        <v>19</v>
      </c>
      <c r="L209" s="2"/>
    </row>
    <row r="210" spans="1:12" ht="65" x14ac:dyDescent="0.2">
      <c r="A210" s="2" t="s">
        <v>480</v>
      </c>
      <c r="B210" s="2" t="s">
        <v>489</v>
      </c>
      <c r="C210" s="2" t="s">
        <v>490</v>
      </c>
      <c r="D210" s="2" t="s">
        <v>491</v>
      </c>
      <c r="E210" s="6" t="s">
        <v>264</v>
      </c>
      <c r="F210" s="4" t="s">
        <v>17</v>
      </c>
      <c r="G210" s="2" t="s">
        <v>17</v>
      </c>
      <c r="H210" s="5" t="s">
        <v>18</v>
      </c>
      <c r="I210" s="2"/>
      <c r="J210" s="2"/>
      <c r="K210" s="2" t="s">
        <v>19</v>
      </c>
      <c r="L210" s="2"/>
    </row>
    <row r="211" spans="1:12" ht="52" x14ac:dyDescent="0.2">
      <c r="A211" s="2" t="s">
        <v>480</v>
      </c>
      <c r="B211" s="2" t="s">
        <v>489</v>
      </c>
      <c r="C211" s="2" t="s">
        <v>492</v>
      </c>
      <c r="D211" s="2" t="s">
        <v>493</v>
      </c>
      <c r="E211" s="6" t="s">
        <v>264</v>
      </c>
      <c r="F211" s="4" t="s">
        <v>17</v>
      </c>
      <c r="G211" s="2" t="s">
        <v>17</v>
      </c>
      <c r="H211" s="5" t="s">
        <v>18</v>
      </c>
      <c r="I211" s="2"/>
      <c r="J211" s="2"/>
      <c r="K211" s="2" t="s">
        <v>19</v>
      </c>
      <c r="L211" s="2"/>
    </row>
    <row r="212" spans="1:12" ht="39" x14ac:dyDescent="0.2">
      <c r="A212" s="2" t="s">
        <v>480</v>
      </c>
      <c r="B212" s="2" t="s">
        <v>489</v>
      </c>
      <c r="C212" s="2" t="s">
        <v>494</v>
      </c>
      <c r="D212" s="2" t="s">
        <v>495</v>
      </c>
      <c r="E212" s="6" t="s">
        <v>264</v>
      </c>
      <c r="F212" s="4" t="s">
        <v>17</v>
      </c>
      <c r="G212" s="2" t="s">
        <v>17</v>
      </c>
      <c r="H212" s="5" t="s">
        <v>18</v>
      </c>
      <c r="I212" s="2"/>
      <c r="J212" s="2"/>
      <c r="K212" s="2" t="s">
        <v>19</v>
      </c>
      <c r="L212" s="2"/>
    </row>
    <row r="213" spans="1:12" ht="39" x14ac:dyDescent="0.2">
      <c r="A213" s="2" t="s">
        <v>480</v>
      </c>
      <c r="B213" s="2" t="s">
        <v>489</v>
      </c>
      <c r="C213" s="2" t="s">
        <v>496</v>
      </c>
      <c r="D213" s="2" t="s">
        <v>497</v>
      </c>
      <c r="E213" s="6" t="s">
        <v>264</v>
      </c>
      <c r="F213" s="4" t="s">
        <v>17</v>
      </c>
      <c r="G213" s="2" t="s">
        <v>17</v>
      </c>
      <c r="H213" s="5" t="s">
        <v>18</v>
      </c>
      <c r="I213" s="2"/>
      <c r="J213" s="2"/>
      <c r="K213" s="2" t="s">
        <v>19</v>
      </c>
      <c r="L213" s="2"/>
    </row>
    <row r="214" spans="1:12" ht="39" x14ac:dyDescent="0.2">
      <c r="A214" s="2" t="s">
        <v>480</v>
      </c>
      <c r="B214" s="2" t="s">
        <v>489</v>
      </c>
      <c r="C214" s="2" t="s">
        <v>498</v>
      </c>
      <c r="D214" s="2" t="s">
        <v>499</v>
      </c>
      <c r="E214" s="6" t="s">
        <v>264</v>
      </c>
      <c r="F214" s="4" t="s">
        <v>17</v>
      </c>
      <c r="G214" s="2" t="s">
        <v>17</v>
      </c>
      <c r="H214" s="5" t="s">
        <v>18</v>
      </c>
      <c r="I214" s="2"/>
      <c r="J214" s="2"/>
      <c r="K214" s="2" t="s">
        <v>19</v>
      </c>
      <c r="L214" s="2"/>
    </row>
    <row r="215" spans="1:12" ht="52" x14ac:dyDescent="0.2">
      <c r="A215" s="2" t="s">
        <v>480</v>
      </c>
      <c r="B215" s="2" t="s">
        <v>489</v>
      </c>
      <c r="C215" s="2" t="s">
        <v>500</v>
      </c>
      <c r="D215" s="2" t="s">
        <v>501</v>
      </c>
      <c r="E215" s="6" t="s">
        <v>264</v>
      </c>
      <c r="F215" s="4" t="s">
        <v>17</v>
      </c>
      <c r="G215" s="2" t="s">
        <v>17</v>
      </c>
      <c r="H215" s="5" t="s">
        <v>18</v>
      </c>
      <c r="I215" s="2"/>
      <c r="J215" s="2"/>
      <c r="K215" s="2" t="s">
        <v>19</v>
      </c>
      <c r="L215" s="2"/>
    </row>
    <row r="216" spans="1:12" ht="39" x14ac:dyDescent="0.2">
      <c r="A216" s="2" t="s">
        <v>480</v>
      </c>
      <c r="B216" s="2" t="s">
        <v>502</v>
      </c>
      <c r="C216" s="2" t="s">
        <v>503</v>
      </c>
      <c r="D216" s="2" t="s">
        <v>504</v>
      </c>
      <c r="E216" s="6" t="s">
        <v>264</v>
      </c>
      <c r="F216" s="4" t="s">
        <v>17</v>
      </c>
      <c r="G216" s="2" t="s">
        <v>17</v>
      </c>
      <c r="H216" s="5" t="s">
        <v>18</v>
      </c>
      <c r="I216" s="2"/>
      <c r="J216" s="2"/>
      <c r="K216" s="2" t="s">
        <v>19</v>
      </c>
      <c r="L216" s="2"/>
    </row>
    <row r="217" spans="1:12" ht="39" x14ac:dyDescent="0.2">
      <c r="A217" s="2" t="s">
        <v>480</v>
      </c>
      <c r="B217" s="2" t="s">
        <v>502</v>
      </c>
      <c r="C217" s="2" t="s">
        <v>505</v>
      </c>
      <c r="D217" s="2" t="s">
        <v>506</v>
      </c>
      <c r="E217" s="6" t="s">
        <v>264</v>
      </c>
      <c r="F217" s="4" t="s">
        <v>17</v>
      </c>
      <c r="G217" s="2" t="s">
        <v>17</v>
      </c>
      <c r="H217" s="5" t="s">
        <v>18</v>
      </c>
      <c r="I217" s="2"/>
      <c r="J217" s="2"/>
      <c r="K217" s="2" t="s">
        <v>19</v>
      </c>
      <c r="L217" s="2"/>
    </row>
    <row r="218" spans="1:12" ht="39" x14ac:dyDescent="0.2">
      <c r="A218" s="2" t="s">
        <v>480</v>
      </c>
      <c r="B218" s="2" t="s">
        <v>502</v>
      </c>
      <c r="C218" s="2" t="s">
        <v>507</v>
      </c>
      <c r="D218" s="2" t="s">
        <v>508</v>
      </c>
      <c r="E218" s="6" t="s">
        <v>264</v>
      </c>
      <c r="F218" s="4" t="s">
        <v>17</v>
      </c>
      <c r="G218" s="2" t="s">
        <v>17</v>
      </c>
      <c r="H218" s="5" t="s">
        <v>18</v>
      </c>
      <c r="I218" s="2"/>
      <c r="J218" s="2"/>
      <c r="K218" s="2" t="s">
        <v>19</v>
      </c>
      <c r="L218" s="2"/>
    </row>
    <row r="219" spans="1:12" ht="39" x14ac:dyDescent="0.2">
      <c r="A219" s="2" t="s">
        <v>480</v>
      </c>
      <c r="B219" s="2" t="s">
        <v>502</v>
      </c>
      <c r="C219" s="2" t="s">
        <v>509</v>
      </c>
      <c r="D219" s="2" t="s">
        <v>510</v>
      </c>
      <c r="E219" s="6" t="s">
        <v>264</v>
      </c>
      <c r="F219" s="4" t="s">
        <v>17</v>
      </c>
      <c r="G219" s="2" t="s">
        <v>17</v>
      </c>
      <c r="H219" s="5" t="s">
        <v>18</v>
      </c>
      <c r="I219" s="2"/>
      <c r="J219" s="2"/>
      <c r="K219" s="2" t="s">
        <v>19</v>
      </c>
      <c r="L219" s="2"/>
    </row>
    <row r="220" spans="1:12" ht="39" x14ac:dyDescent="0.2">
      <c r="A220" s="2" t="s">
        <v>480</v>
      </c>
      <c r="B220" s="2" t="s">
        <v>502</v>
      </c>
      <c r="C220" s="2" t="s">
        <v>511</v>
      </c>
      <c r="D220" s="2" t="s">
        <v>512</v>
      </c>
      <c r="E220" s="6" t="s">
        <v>264</v>
      </c>
      <c r="F220" s="4" t="s">
        <v>17</v>
      </c>
      <c r="G220" s="2" t="s">
        <v>17</v>
      </c>
      <c r="H220" s="5" t="s">
        <v>18</v>
      </c>
      <c r="I220" s="2"/>
      <c r="J220" s="2"/>
      <c r="K220" s="2" t="s">
        <v>19</v>
      </c>
      <c r="L220" s="2"/>
    </row>
    <row r="221" spans="1:12" ht="52" x14ac:dyDescent="0.2">
      <c r="A221" s="2" t="s">
        <v>480</v>
      </c>
      <c r="B221" s="2" t="s">
        <v>513</v>
      </c>
      <c r="C221" s="2" t="s">
        <v>514</v>
      </c>
      <c r="D221" s="2" t="s">
        <v>515</v>
      </c>
      <c r="E221" s="6" t="s">
        <v>264</v>
      </c>
      <c r="F221" s="9" t="s">
        <v>346</v>
      </c>
      <c r="G221" s="2" t="s">
        <v>516</v>
      </c>
      <c r="H221" s="5" t="s">
        <v>18</v>
      </c>
      <c r="I221" s="2"/>
      <c r="J221" s="2"/>
      <c r="K221" s="2" t="s">
        <v>19</v>
      </c>
      <c r="L221" s="2"/>
    </row>
    <row r="222" spans="1:12" ht="52" x14ac:dyDescent="0.2">
      <c r="A222" s="2" t="s">
        <v>480</v>
      </c>
      <c r="B222" s="2" t="s">
        <v>513</v>
      </c>
      <c r="C222" s="2" t="s">
        <v>517</v>
      </c>
      <c r="D222" s="2" t="s">
        <v>518</v>
      </c>
      <c r="E222" s="6" t="s">
        <v>264</v>
      </c>
      <c r="F222" s="4" t="s">
        <v>17</v>
      </c>
      <c r="G222" s="2" t="s">
        <v>17</v>
      </c>
      <c r="H222" s="5" t="s">
        <v>18</v>
      </c>
      <c r="I222" s="2"/>
      <c r="J222" s="2"/>
      <c r="K222" s="2" t="s">
        <v>19</v>
      </c>
      <c r="L222" s="2"/>
    </row>
    <row r="223" spans="1:12" ht="52" x14ac:dyDescent="0.2">
      <c r="A223" s="2" t="s">
        <v>480</v>
      </c>
      <c r="B223" s="2" t="s">
        <v>513</v>
      </c>
      <c r="C223" s="2" t="s">
        <v>519</v>
      </c>
      <c r="D223" s="2" t="s">
        <v>520</v>
      </c>
      <c r="E223" s="6" t="s">
        <v>264</v>
      </c>
      <c r="F223" s="8" t="s">
        <v>317</v>
      </c>
      <c r="G223" s="2" t="s">
        <v>521</v>
      </c>
      <c r="H223" s="5" t="s">
        <v>18</v>
      </c>
      <c r="I223" s="2"/>
      <c r="J223" s="2"/>
      <c r="K223" s="2" t="s">
        <v>19</v>
      </c>
      <c r="L223" s="2"/>
    </row>
    <row r="224" spans="1:12" ht="39" x14ac:dyDescent="0.2">
      <c r="A224" s="2" t="s">
        <v>480</v>
      </c>
      <c r="B224" s="2" t="s">
        <v>513</v>
      </c>
      <c r="C224" s="2" t="s">
        <v>522</v>
      </c>
      <c r="D224" s="2" t="s">
        <v>523</v>
      </c>
      <c r="E224" s="6" t="s">
        <v>264</v>
      </c>
      <c r="F224" s="4" t="s">
        <v>17</v>
      </c>
      <c r="G224" s="2" t="s">
        <v>17</v>
      </c>
      <c r="H224" s="5" t="s">
        <v>18</v>
      </c>
      <c r="I224" s="2"/>
      <c r="J224" s="2"/>
      <c r="K224" s="2" t="s">
        <v>19</v>
      </c>
      <c r="L224" s="2"/>
    </row>
    <row r="225" spans="1:12" ht="52" x14ac:dyDescent="0.2">
      <c r="A225" s="2" t="s">
        <v>480</v>
      </c>
      <c r="B225" s="2" t="s">
        <v>513</v>
      </c>
      <c r="C225" s="2" t="s">
        <v>524</v>
      </c>
      <c r="D225" s="2" t="s">
        <v>525</v>
      </c>
      <c r="E225" s="6" t="s">
        <v>264</v>
      </c>
      <c r="F225" s="4" t="s">
        <v>17</v>
      </c>
      <c r="G225" s="2" t="s">
        <v>17</v>
      </c>
      <c r="H225" s="5" t="s">
        <v>18</v>
      </c>
      <c r="I225" s="2"/>
      <c r="J225" s="2"/>
      <c r="K225" s="2" t="s">
        <v>19</v>
      </c>
      <c r="L225" s="2"/>
    </row>
    <row r="226" spans="1:12" ht="39" x14ac:dyDescent="0.2">
      <c r="A226" s="2" t="s">
        <v>480</v>
      </c>
      <c r="B226" s="2" t="s">
        <v>513</v>
      </c>
      <c r="C226" s="2" t="s">
        <v>526</v>
      </c>
      <c r="D226" s="2" t="s">
        <v>527</v>
      </c>
      <c r="E226" s="6" t="s">
        <v>264</v>
      </c>
      <c r="F226" s="4" t="s">
        <v>17</v>
      </c>
      <c r="G226" s="2" t="s">
        <v>17</v>
      </c>
      <c r="H226" s="5" t="s">
        <v>18</v>
      </c>
      <c r="I226" s="2"/>
      <c r="J226" s="2"/>
      <c r="K226" s="2" t="s">
        <v>19</v>
      </c>
      <c r="L226" s="2"/>
    </row>
    <row r="227" spans="1:12" ht="52" x14ac:dyDescent="0.2">
      <c r="A227" s="2" t="s">
        <v>480</v>
      </c>
      <c r="B227" s="2" t="s">
        <v>528</v>
      </c>
      <c r="C227" s="2" t="s">
        <v>529</v>
      </c>
      <c r="D227" s="2" t="s">
        <v>530</v>
      </c>
      <c r="E227" s="6" t="s">
        <v>264</v>
      </c>
      <c r="F227" s="4" t="s">
        <v>17</v>
      </c>
      <c r="G227" s="2" t="s">
        <v>17</v>
      </c>
      <c r="H227" s="5" t="s">
        <v>18</v>
      </c>
      <c r="I227" s="2"/>
      <c r="J227" s="2"/>
      <c r="K227" s="2" t="s">
        <v>19</v>
      </c>
      <c r="L227" s="2"/>
    </row>
    <row r="228" spans="1:12" ht="39" x14ac:dyDescent="0.2">
      <c r="A228" s="2" t="s">
        <v>480</v>
      </c>
      <c r="B228" s="2" t="s">
        <v>528</v>
      </c>
      <c r="C228" s="2" t="s">
        <v>531</v>
      </c>
      <c r="D228" s="2" t="s">
        <v>532</v>
      </c>
      <c r="E228" s="6" t="s">
        <v>264</v>
      </c>
      <c r="F228" s="4" t="s">
        <v>17</v>
      </c>
      <c r="G228" s="2" t="s">
        <v>17</v>
      </c>
      <c r="H228" s="5" t="s">
        <v>18</v>
      </c>
      <c r="I228" s="2"/>
      <c r="J228" s="2"/>
      <c r="K228" s="2" t="s">
        <v>19</v>
      </c>
      <c r="L228" s="2"/>
    </row>
    <row r="229" spans="1:12" ht="39" x14ac:dyDescent="0.2">
      <c r="A229" s="2" t="s">
        <v>480</v>
      </c>
      <c r="B229" s="2" t="s">
        <v>528</v>
      </c>
      <c r="C229" s="2" t="s">
        <v>533</v>
      </c>
      <c r="D229" s="2" t="s">
        <v>534</v>
      </c>
      <c r="E229" s="6" t="s">
        <v>264</v>
      </c>
      <c r="F229" s="4" t="s">
        <v>17</v>
      </c>
      <c r="G229" s="2" t="s">
        <v>17</v>
      </c>
      <c r="H229" s="5" t="s">
        <v>18</v>
      </c>
      <c r="I229" s="2"/>
      <c r="J229" s="2"/>
      <c r="K229" s="2" t="s">
        <v>19</v>
      </c>
      <c r="L229" s="2"/>
    </row>
    <row r="230" spans="1:12" ht="52" x14ac:dyDescent="0.2">
      <c r="A230" s="2" t="s">
        <v>480</v>
      </c>
      <c r="B230" s="2" t="s">
        <v>528</v>
      </c>
      <c r="C230" s="2" t="s">
        <v>535</v>
      </c>
      <c r="D230" s="2" t="s">
        <v>536</v>
      </c>
      <c r="E230" s="6" t="s">
        <v>264</v>
      </c>
      <c r="F230" s="4" t="s">
        <v>17</v>
      </c>
      <c r="G230" s="2" t="s">
        <v>17</v>
      </c>
      <c r="H230" s="5" t="s">
        <v>18</v>
      </c>
      <c r="I230" s="2"/>
      <c r="J230" s="2"/>
      <c r="K230" s="2" t="s">
        <v>19</v>
      </c>
      <c r="L230" s="2"/>
    </row>
    <row r="231" spans="1:12" ht="52" x14ac:dyDescent="0.2">
      <c r="A231" s="2" t="s">
        <v>480</v>
      </c>
      <c r="B231" s="2" t="s">
        <v>537</v>
      </c>
      <c r="C231" s="2" t="s">
        <v>538</v>
      </c>
      <c r="D231" s="2" t="s">
        <v>539</v>
      </c>
      <c r="E231" s="6" t="s">
        <v>264</v>
      </c>
      <c r="F231" s="4" t="s">
        <v>17</v>
      </c>
      <c r="G231" s="2" t="s">
        <v>17</v>
      </c>
      <c r="H231" s="5" t="s">
        <v>18</v>
      </c>
      <c r="I231" s="2"/>
      <c r="J231" s="2"/>
      <c r="K231" s="2" t="s">
        <v>19</v>
      </c>
      <c r="L231" s="2"/>
    </row>
    <row r="232" spans="1:12" ht="52" x14ac:dyDescent="0.2">
      <c r="A232" s="2" t="s">
        <v>480</v>
      </c>
      <c r="B232" s="2" t="s">
        <v>537</v>
      </c>
      <c r="C232" s="2" t="s">
        <v>540</v>
      </c>
      <c r="D232" s="28" t="s">
        <v>541</v>
      </c>
      <c r="E232" s="6" t="s">
        <v>264</v>
      </c>
      <c r="F232" s="9" t="s">
        <v>346</v>
      </c>
      <c r="G232" s="2" t="s">
        <v>542</v>
      </c>
      <c r="H232" s="5" t="s">
        <v>18</v>
      </c>
      <c r="I232" s="2"/>
      <c r="J232" s="2" t="s">
        <v>2455</v>
      </c>
      <c r="K232" s="2" t="s">
        <v>19</v>
      </c>
      <c r="L232" s="2"/>
    </row>
    <row r="233" spans="1:12" ht="39" x14ac:dyDescent="0.2">
      <c r="A233" s="2" t="s">
        <v>480</v>
      </c>
      <c r="B233" s="2" t="s">
        <v>537</v>
      </c>
      <c r="C233" s="2" t="s">
        <v>543</v>
      </c>
      <c r="D233" s="2" t="s">
        <v>544</v>
      </c>
      <c r="E233" s="6" t="s">
        <v>264</v>
      </c>
      <c r="F233" s="4" t="s">
        <v>17</v>
      </c>
      <c r="G233" s="2" t="s">
        <v>17</v>
      </c>
      <c r="H233" s="5" t="s">
        <v>18</v>
      </c>
      <c r="I233" s="2"/>
      <c r="J233" s="2"/>
      <c r="K233" s="2" t="s">
        <v>19</v>
      </c>
      <c r="L233" s="2"/>
    </row>
    <row r="234" spans="1:12" ht="39" x14ac:dyDescent="0.2">
      <c r="A234" s="2" t="s">
        <v>480</v>
      </c>
      <c r="B234" s="2" t="s">
        <v>537</v>
      </c>
      <c r="C234" s="2" t="s">
        <v>545</v>
      </c>
      <c r="D234" s="2" t="s">
        <v>546</v>
      </c>
      <c r="E234" s="6" t="s">
        <v>264</v>
      </c>
      <c r="F234" s="4" t="s">
        <v>17</v>
      </c>
      <c r="G234" s="2" t="s">
        <v>17</v>
      </c>
      <c r="H234" s="5" t="s">
        <v>18</v>
      </c>
      <c r="I234" s="2"/>
      <c r="J234" s="2"/>
      <c r="K234" s="2" t="s">
        <v>19</v>
      </c>
      <c r="L234" s="2"/>
    </row>
    <row r="235" spans="1:12" ht="39" x14ac:dyDescent="0.2">
      <c r="A235" s="2" t="s">
        <v>480</v>
      </c>
      <c r="B235" s="2" t="s">
        <v>537</v>
      </c>
      <c r="C235" s="2" t="s">
        <v>547</v>
      </c>
      <c r="D235" s="2" t="s">
        <v>548</v>
      </c>
      <c r="E235" s="6" t="s">
        <v>264</v>
      </c>
      <c r="F235" s="4" t="s">
        <v>17</v>
      </c>
      <c r="G235" s="2" t="s">
        <v>17</v>
      </c>
      <c r="H235" s="5" t="s">
        <v>18</v>
      </c>
      <c r="I235" s="2"/>
      <c r="J235" s="2"/>
      <c r="K235" s="2" t="s">
        <v>19</v>
      </c>
      <c r="L235" s="2"/>
    </row>
    <row r="236" spans="1:12" ht="78" x14ac:dyDescent="0.2">
      <c r="A236" s="2" t="s">
        <v>480</v>
      </c>
      <c r="B236" s="2" t="s">
        <v>549</v>
      </c>
      <c r="C236" s="2" t="s">
        <v>550</v>
      </c>
      <c r="D236" s="2" t="s">
        <v>551</v>
      </c>
      <c r="E236" s="6" t="s">
        <v>264</v>
      </c>
      <c r="F236" s="4" t="s">
        <v>17</v>
      </c>
      <c r="G236" s="2" t="s">
        <v>17</v>
      </c>
      <c r="H236" s="5" t="s">
        <v>18</v>
      </c>
      <c r="I236" s="2"/>
      <c r="J236" s="2"/>
      <c r="K236" s="2" t="s">
        <v>19</v>
      </c>
      <c r="L236" s="2"/>
    </row>
    <row r="237" spans="1:12" ht="39" x14ac:dyDescent="0.2">
      <c r="A237" s="2" t="s">
        <v>480</v>
      </c>
      <c r="B237" s="2" t="s">
        <v>549</v>
      </c>
      <c r="C237" s="2" t="s">
        <v>552</v>
      </c>
      <c r="D237" s="2" t="s">
        <v>553</v>
      </c>
      <c r="E237" s="6" t="s">
        <v>264</v>
      </c>
      <c r="F237" s="4" t="s">
        <v>17</v>
      </c>
      <c r="G237" s="2" t="s">
        <v>17</v>
      </c>
      <c r="H237" s="5" t="s">
        <v>18</v>
      </c>
      <c r="I237" s="2"/>
      <c r="J237" s="2"/>
      <c r="K237" s="2" t="s">
        <v>19</v>
      </c>
      <c r="L237" s="2"/>
    </row>
    <row r="238" spans="1:12" ht="52" x14ac:dyDescent="0.2">
      <c r="A238" s="2" t="s">
        <v>554</v>
      </c>
      <c r="B238" s="2" t="s">
        <v>555</v>
      </c>
      <c r="C238" s="2" t="s">
        <v>556</v>
      </c>
      <c r="D238" s="2" t="s">
        <v>557</v>
      </c>
      <c r="E238" s="6" t="s">
        <v>264</v>
      </c>
      <c r="F238" s="8" t="s">
        <v>317</v>
      </c>
      <c r="G238" s="2" t="s">
        <v>558</v>
      </c>
      <c r="H238" s="5" t="s">
        <v>18</v>
      </c>
      <c r="I238" s="2"/>
      <c r="J238" s="2"/>
      <c r="K238" s="2" t="s">
        <v>19</v>
      </c>
      <c r="L238" s="2"/>
    </row>
    <row r="239" spans="1:12" ht="39" x14ac:dyDescent="0.2">
      <c r="A239" s="2" t="s">
        <v>554</v>
      </c>
      <c r="B239" s="2" t="s">
        <v>555</v>
      </c>
      <c r="C239" s="2" t="s">
        <v>559</v>
      </c>
      <c r="D239" s="2" t="s">
        <v>560</v>
      </c>
      <c r="E239" s="6" t="s">
        <v>264</v>
      </c>
      <c r="F239" s="4" t="s">
        <v>17</v>
      </c>
      <c r="G239" s="2" t="s">
        <v>17</v>
      </c>
      <c r="H239" s="5" t="s">
        <v>18</v>
      </c>
      <c r="I239" s="2"/>
      <c r="J239" s="2"/>
      <c r="K239" s="2" t="s">
        <v>19</v>
      </c>
      <c r="L239" s="2"/>
    </row>
    <row r="240" spans="1:12" ht="52" x14ac:dyDescent="0.2">
      <c r="A240" s="2" t="s">
        <v>554</v>
      </c>
      <c r="B240" s="2" t="s">
        <v>555</v>
      </c>
      <c r="C240" s="2" t="s">
        <v>561</v>
      </c>
      <c r="D240" s="2" t="s">
        <v>562</v>
      </c>
      <c r="E240" s="6" t="s">
        <v>264</v>
      </c>
      <c r="F240" s="4" t="s">
        <v>17</v>
      </c>
      <c r="G240" s="2" t="s">
        <v>17</v>
      </c>
      <c r="H240" s="5" t="s">
        <v>18</v>
      </c>
      <c r="I240" s="2"/>
      <c r="J240" s="2"/>
      <c r="K240" s="2" t="s">
        <v>19</v>
      </c>
      <c r="L240" s="2"/>
    </row>
    <row r="241" spans="1:12" ht="52" x14ac:dyDescent="0.2">
      <c r="A241" s="2" t="s">
        <v>554</v>
      </c>
      <c r="B241" s="2" t="s">
        <v>555</v>
      </c>
      <c r="C241" s="2" t="s">
        <v>563</v>
      </c>
      <c r="D241" s="28" t="s">
        <v>564</v>
      </c>
      <c r="E241" s="6" t="s">
        <v>264</v>
      </c>
      <c r="F241" s="9" t="s">
        <v>346</v>
      </c>
      <c r="G241" s="2" t="s">
        <v>565</v>
      </c>
      <c r="H241" s="5" t="s">
        <v>18</v>
      </c>
      <c r="I241" s="2" t="s">
        <v>2456</v>
      </c>
      <c r="J241" s="2"/>
      <c r="K241" s="2" t="s">
        <v>19</v>
      </c>
      <c r="L241" s="2"/>
    </row>
    <row r="242" spans="1:12" ht="52" x14ac:dyDescent="0.2">
      <c r="A242" s="2" t="s">
        <v>554</v>
      </c>
      <c r="B242" s="2" t="s">
        <v>566</v>
      </c>
      <c r="C242" s="2" t="s">
        <v>567</v>
      </c>
      <c r="D242" s="2" t="s">
        <v>568</v>
      </c>
      <c r="E242" s="6" t="s">
        <v>264</v>
      </c>
      <c r="F242" s="4" t="s">
        <v>17</v>
      </c>
      <c r="G242" s="2" t="s">
        <v>17</v>
      </c>
      <c r="H242" s="5" t="s">
        <v>18</v>
      </c>
      <c r="I242" s="2"/>
      <c r="J242" s="2"/>
      <c r="K242" s="2" t="s">
        <v>19</v>
      </c>
      <c r="L242" s="2"/>
    </row>
    <row r="243" spans="1:12" ht="52" x14ac:dyDescent="0.2">
      <c r="A243" s="2" t="s">
        <v>554</v>
      </c>
      <c r="B243" s="2" t="s">
        <v>566</v>
      </c>
      <c r="C243" s="2" t="s">
        <v>569</v>
      </c>
      <c r="D243" s="2" t="s">
        <v>570</v>
      </c>
      <c r="E243" s="6" t="s">
        <v>264</v>
      </c>
      <c r="F243" s="4" t="s">
        <v>17</v>
      </c>
      <c r="G243" s="2" t="s">
        <v>17</v>
      </c>
      <c r="H243" s="5" t="s">
        <v>18</v>
      </c>
      <c r="I243" s="2"/>
      <c r="J243" s="2"/>
      <c r="K243" s="2" t="s">
        <v>19</v>
      </c>
      <c r="L243" s="2"/>
    </row>
    <row r="244" spans="1:12" ht="65" x14ac:dyDescent="0.2">
      <c r="A244" s="2" t="s">
        <v>554</v>
      </c>
      <c r="B244" s="2" t="s">
        <v>566</v>
      </c>
      <c r="C244" s="2" t="s">
        <v>571</v>
      </c>
      <c r="D244" s="2" t="s">
        <v>572</v>
      </c>
      <c r="E244" s="6" t="s">
        <v>264</v>
      </c>
      <c r="F244" s="4" t="s">
        <v>17</v>
      </c>
      <c r="G244" s="2" t="s">
        <v>17</v>
      </c>
      <c r="H244" s="5" t="s">
        <v>18</v>
      </c>
      <c r="I244" s="2"/>
      <c r="J244" s="2"/>
      <c r="K244" s="2" t="s">
        <v>19</v>
      </c>
      <c r="L244" s="2"/>
    </row>
    <row r="245" spans="1:12" ht="52" x14ac:dyDescent="0.2">
      <c r="A245" s="2" t="s">
        <v>554</v>
      </c>
      <c r="B245" s="2" t="s">
        <v>566</v>
      </c>
      <c r="C245" s="2" t="s">
        <v>573</v>
      </c>
      <c r="D245" s="2" t="s">
        <v>574</v>
      </c>
      <c r="E245" s="6" t="s">
        <v>264</v>
      </c>
      <c r="F245" s="4" t="s">
        <v>17</v>
      </c>
      <c r="G245" s="2" t="s">
        <v>17</v>
      </c>
      <c r="H245" s="5" t="s">
        <v>18</v>
      </c>
      <c r="I245" s="2"/>
      <c r="J245" s="2"/>
      <c r="K245" s="2" t="s">
        <v>19</v>
      </c>
      <c r="L245" s="2"/>
    </row>
    <row r="246" spans="1:12" ht="52" x14ac:dyDescent="0.2">
      <c r="A246" s="2" t="s">
        <v>554</v>
      </c>
      <c r="B246" s="2" t="s">
        <v>566</v>
      </c>
      <c r="C246" s="2" t="s">
        <v>575</v>
      </c>
      <c r="D246" s="2" t="s">
        <v>576</v>
      </c>
      <c r="E246" s="6" t="s">
        <v>264</v>
      </c>
      <c r="F246" s="4" t="s">
        <v>17</v>
      </c>
      <c r="G246" s="2" t="s">
        <v>17</v>
      </c>
      <c r="H246" s="5" t="s">
        <v>18</v>
      </c>
      <c r="I246" s="2"/>
      <c r="J246" s="2"/>
      <c r="K246" s="2" t="s">
        <v>19</v>
      </c>
      <c r="L246" s="2"/>
    </row>
    <row r="247" spans="1:12" ht="39" x14ac:dyDescent="0.2">
      <c r="A247" s="2" t="s">
        <v>554</v>
      </c>
      <c r="B247" s="2" t="s">
        <v>566</v>
      </c>
      <c r="C247" s="2" t="s">
        <v>577</v>
      </c>
      <c r="D247" s="2" t="s">
        <v>578</v>
      </c>
      <c r="E247" s="6" t="s">
        <v>264</v>
      </c>
      <c r="F247" s="4" t="s">
        <v>17</v>
      </c>
      <c r="G247" s="2" t="s">
        <v>17</v>
      </c>
      <c r="H247" s="5" t="s">
        <v>18</v>
      </c>
      <c r="I247" s="2"/>
      <c r="J247" s="2"/>
      <c r="K247" s="2" t="s">
        <v>19</v>
      </c>
      <c r="L247" s="2"/>
    </row>
    <row r="248" spans="1:12" ht="52" x14ac:dyDescent="0.2">
      <c r="A248" s="2" t="s">
        <v>554</v>
      </c>
      <c r="B248" s="2" t="s">
        <v>566</v>
      </c>
      <c r="C248" s="2" t="s">
        <v>579</v>
      </c>
      <c r="D248" s="2" t="s">
        <v>580</v>
      </c>
      <c r="E248" s="6" t="s">
        <v>264</v>
      </c>
      <c r="F248" s="4" t="s">
        <v>17</v>
      </c>
      <c r="G248" s="2" t="s">
        <v>17</v>
      </c>
      <c r="H248" s="5" t="s">
        <v>18</v>
      </c>
      <c r="I248" s="2"/>
      <c r="J248" s="2"/>
      <c r="K248" s="2" t="s">
        <v>19</v>
      </c>
      <c r="L248" s="2"/>
    </row>
    <row r="249" spans="1:12" ht="52" x14ac:dyDescent="0.2">
      <c r="A249" s="2" t="s">
        <v>554</v>
      </c>
      <c r="B249" s="2" t="s">
        <v>581</v>
      </c>
      <c r="C249" s="2" t="s">
        <v>582</v>
      </c>
      <c r="D249" s="2" t="s">
        <v>583</v>
      </c>
      <c r="E249" s="6" t="s">
        <v>264</v>
      </c>
      <c r="F249" s="4" t="s">
        <v>17</v>
      </c>
      <c r="G249" s="2" t="s">
        <v>17</v>
      </c>
      <c r="H249" s="5" t="s">
        <v>18</v>
      </c>
      <c r="I249" s="2"/>
      <c r="J249" s="2"/>
      <c r="K249" s="2" t="s">
        <v>19</v>
      </c>
      <c r="L249" s="2"/>
    </row>
    <row r="250" spans="1:12" ht="65" x14ac:dyDescent="0.2">
      <c r="A250" s="2" t="s">
        <v>554</v>
      </c>
      <c r="B250" s="2" t="s">
        <v>581</v>
      </c>
      <c r="C250" s="2" t="s">
        <v>584</v>
      </c>
      <c r="D250" s="2" t="s">
        <v>585</v>
      </c>
      <c r="E250" s="6" t="s">
        <v>264</v>
      </c>
      <c r="F250" s="4" t="s">
        <v>17</v>
      </c>
      <c r="G250" s="2" t="s">
        <v>17</v>
      </c>
      <c r="H250" s="5" t="s">
        <v>18</v>
      </c>
      <c r="I250" s="2"/>
      <c r="J250" s="2"/>
      <c r="K250" s="2" t="s">
        <v>19</v>
      </c>
      <c r="L250" s="2"/>
    </row>
    <row r="251" spans="1:12" ht="52" x14ac:dyDescent="0.2">
      <c r="A251" s="2" t="s">
        <v>554</v>
      </c>
      <c r="B251" s="2" t="s">
        <v>581</v>
      </c>
      <c r="C251" s="2" t="s">
        <v>586</v>
      </c>
      <c r="D251" s="2" t="s">
        <v>587</v>
      </c>
      <c r="E251" s="6" t="s">
        <v>264</v>
      </c>
      <c r="F251" s="4" t="s">
        <v>17</v>
      </c>
      <c r="G251" s="2" t="s">
        <v>17</v>
      </c>
      <c r="H251" s="5" t="s">
        <v>18</v>
      </c>
      <c r="I251" s="2"/>
      <c r="J251" s="2"/>
      <c r="K251" s="2" t="s">
        <v>19</v>
      </c>
      <c r="L251" s="2"/>
    </row>
    <row r="252" spans="1:12" ht="52" x14ac:dyDescent="0.2">
      <c r="A252" s="2" t="s">
        <v>554</v>
      </c>
      <c r="B252" s="2" t="s">
        <v>581</v>
      </c>
      <c r="C252" s="2" t="s">
        <v>588</v>
      </c>
      <c r="D252" s="2" t="s">
        <v>589</v>
      </c>
      <c r="E252" s="6" t="s">
        <v>264</v>
      </c>
      <c r="F252" s="4" t="s">
        <v>17</v>
      </c>
      <c r="G252" s="2" t="s">
        <v>17</v>
      </c>
      <c r="H252" s="5" t="s">
        <v>18</v>
      </c>
      <c r="I252" s="2"/>
      <c r="J252" s="2"/>
      <c r="K252" s="2" t="s">
        <v>19</v>
      </c>
      <c r="L252" s="2"/>
    </row>
    <row r="253" spans="1:12" ht="52" x14ac:dyDescent="0.2">
      <c r="A253" s="2" t="s">
        <v>554</v>
      </c>
      <c r="B253" s="2" t="s">
        <v>590</v>
      </c>
      <c r="C253" s="2" t="s">
        <v>591</v>
      </c>
      <c r="D253" s="2" t="s">
        <v>592</v>
      </c>
      <c r="E253" s="6" t="s">
        <v>264</v>
      </c>
      <c r="F253" s="9" t="s">
        <v>346</v>
      </c>
      <c r="G253" s="2" t="s">
        <v>593</v>
      </c>
      <c r="H253" s="5" t="s">
        <v>18</v>
      </c>
      <c r="I253" s="2"/>
      <c r="J253" s="2"/>
      <c r="K253" s="2" t="s">
        <v>19</v>
      </c>
      <c r="L253" s="2"/>
    </row>
    <row r="254" spans="1:12" ht="39" x14ac:dyDescent="0.2">
      <c r="A254" s="2" t="s">
        <v>554</v>
      </c>
      <c r="B254" s="2" t="s">
        <v>590</v>
      </c>
      <c r="C254" s="2" t="s">
        <v>594</v>
      </c>
      <c r="D254" s="2" t="s">
        <v>595</v>
      </c>
      <c r="E254" s="6" t="s">
        <v>264</v>
      </c>
      <c r="F254" s="9" t="s">
        <v>346</v>
      </c>
      <c r="G254" s="2" t="s">
        <v>596</v>
      </c>
      <c r="H254" s="5" t="s">
        <v>18</v>
      </c>
      <c r="I254" s="2"/>
      <c r="J254" s="2"/>
      <c r="K254" s="2" t="s">
        <v>19</v>
      </c>
      <c r="L254" s="2"/>
    </row>
    <row r="255" spans="1:12" ht="39" x14ac:dyDescent="0.2">
      <c r="A255" s="2" t="s">
        <v>554</v>
      </c>
      <c r="B255" s="2" t="s">
        <v>590</v>
      </c>
      <c r="C255" s="2" t="s">
        <v>597</v>
      </c>
      <c r="D255" s="2" t="s">
        <v>598</v>
      </c>
      <c r="E255" s="6" t="s">
        <v>264</v>
      </c>
      <c r="F255" s="4" t="s">
        <v>17</v>
      </c>
      <c r="G255" s="2" t="s">
        <v>17</v>
      </c>
      <c r="H255" s="5" t="s">
        <v>18</v>
      </c>
      <c r="I255" s="2"/>
      <c r="J255" s="2"/>
      <c r="K255" s="2" t="s">
        <v>19</v>
      </c>
      <c r="L255" s="2"/>
    </row>
    <row r="256" spans="1:12" ht="52" x14ac:dyDescent="0.2">
      <c r="A256" s="2" t="s">
        <v>554</v>
      </c>
      <c r="B256" s="2" t="s">
        <v>590</v>
      </c>
      <c r="C256" s="2" t="s">
        <v>599</v>
      </c>
      <c r="D256" s="2" t="s">
        <v>600</v>
      </c>
      <c r="E256" s="6" t="s">
        <v>264</v>
      </c>
      <c r="F256" s="4" t="s">
        <v>17</v>
      </c>
      <c r="G256" s="2" t="s">
        <v>17</v>
      </c>
      <c r="H256" s="5" t="s">
        <v>18</v>
      </c>
      <c r="I256" s="2"/>
      <c r="J256" s="2"/>
      <c r="K256" s="2" t="s">
        <v>19</v>
      </c>
      <c r="L256" s="2"/>
    </row>
    <row r="257" spans="1:12" ht="52" x14ac:dyDescent="0.2">
      <c r="A257" s="2" t="s">
        <v>554</v>
      </c>
      <c r="B257" s="2" t="s">
        <v>590</v>
      </c>
      <c r="C257" s="2" t="s">
        <v>601</v>
      </c>
      <c r="D257" s="2" t="s">
        <v>602</v>
      </c>
      <c r="E257" s="6" t="s">
        <v>264</v>
      </c>
      <c r="F257" s="4" t="s">
        <v>17</v>
      </c>
      <c r="G257" s="2" t="s">
        <v>17</v>
      </c>
      <c r="H257" s="5" t="s">
        <v>18</v>
      </c>
      <c r="I257" s="2"/>
      <c r="J257" s="2"/>
      <c r="K257" s="2" t="s">
        <v>19</v>
      </c>
      <c r="L257" s="2"/>
    </row>
    <row r="258" spans="1:12" ht="52" x14ac:dyDescent="0.2">
      <c r="A258" s="2" t="s">
        <v>554</v>
      </c>
      <c r="B258" s="2" t="s">
        <v>603</v>
      </c>
      <c r="C258" s="2" t="s">
        <v>604</v>
      </c>
      <c r="D258" s="2" t="s">
        <v>605</v>
      </c>
      <c r="E258" s="6" t="s">
        <v>264</v>
      </c>
      <c r="F258" s="8" t="s">
        <v>317</v>
      </c>
      <c r="G258" s="2" t="s">
        <v>606</v>
      </c>
      <c r="H258" s="5" t="s">
        <v>18</v>
      </c>
      <c r="I258" s="2"/>
      <c r="J258" s="2"/>
      <c r="K258" s="2" t="s">
        <v>19</v>
      </c>
      <c r="L258" s="2"/>
    </row>
    <row r="259" spans="1:12" ht="65" x14ac:dyDescent="0.2">
      <c r="A259" s="2" t="s">
        <v>554</v>
      </c>
      <c r="B259" s="2" t="s">
        <v>603</v>
      </c>
      <c r="C259" s="2" t="s">
        <v>607</v>
      </c>
      <c r="D259" s="2" t="s">
        <v>608</v>
      </c>
      <c r="E259" s="6" t="s">
        <v>264</v>
      </c>
      <c r="F259" s="4" t="s">
        <v>17</v>
      </c>
      <c r="G259" s="2" t="s">
        <v>17</v>
      </c>
      <c r="H259" s="5" t="s">
        <v>18</v>
      </c>
      <c r="I259" s="2"/>
      <c r="J259" s="2"/>
      <c r="K259" s="2" t="s">
        <v>19</v>
      </c>
      <c r="L259" s="2"/>
    </row>
    <row r="260" spans="1:12" ht="52" x14ac:dyDescent="0.2">
      <c r="A260" s="2" t="s">
        <v>554</v>
      </c>
      <c r="B260" s="2" t="s">
        <v>603</v>
      </c>
      <c r="C260" s="2" t="s">
        <v>609</v>
      </c>
      <c r="D260" s="2" t="s">
        <v>610</v>
      </c>
      <c r="E260" s="6" t="s">
        <v>264</v>
      </c>
      <c r="F260" s="4" t="s">
        <v>17</v>
      </c>
      <c r="G260" s="2" t="s">
        <v>17</v>
      </c>
      <c r="H260" s="5" t="s">
        <v>18</v>
      </c>
      <c r="I260" s="2"/>
      <c r="J260" s="2"/>
      <c r="K260" s="2" t="s">
        <v>19</v>
      </c>
      <c r="L260" s="2"/>
    </row>
    <row r="261" spans="1:12" ht="65" x14ac:dyDescent="0.2">
      <c r="A261" s="2" t="s">
        <v>554</v>
      </c>
      <c r="B261" s="2" t="s">
        <v>611</v>
      </c>
      <c r="C261" s="2" t="s">
        <v>612</v>
      </c>
      <c r="D261" s="2" t="s">
        <v>613</v>
      </c>
      <c r="E261" s="6" t="s">
        <v>264</v>
      </c>
      <c r="F261" s="4" t="s">
        <v>17</v>
      </c>
      <c r="G261" s="2" t="s">
        <v>17</v>
      </c>
      <c r="H261" s="5" t="s">
        <v>18</v>
      </c>
      <c r="I261" s="2"/>
      <c r="J261" s="2"/>
      <c r="K261" s="2" t="s">
        <v>19</v>
      </c>
      <c r="L261" s="2"/>
    </row>
    <row r="262" spans="1:12" ht="26" x14ac:dyDescent="0.2">
      <c r="A262" s="2" t="s">
        <v>554</v>
      </c>
      <c r="B262" s="2" t="s">
        <v>611</v>
      </c>
      <c r="C262" s="2" t="s">
        <v>614</v>
      </c>
      <c r="D262" s="2" t="s">
        <v>615</v>
      </c>
      <c r="E262" s="6" t="s">
        <v>264</v>
      </c>
      <c r="F262" s="4" t="s">
        <v>17</v>
      </c>
      <c r="G262" s="2" t="s">
        <v>17</v>
      </c>
      <c r="H262" s="5" t="s">
        <v>18</v>
      </c>
      <c r="I262" s="2"/>
      <c r="J262" s="2"/>
      <c r="K262" s="2" t="s">
        <v>19</v>
      </c>
      <c r="L262" s="2"/>
    </row>
    <row r="263" spans="1:12" ht="52" x14ac:dyDescent="0.2">
      <c r="A263" s="2" t="s">
        <v>554</v>
      </c>
      <c r="B263" s="2" t="s">
        <v>616</v>
      </c>
      <c r="C263" s="2" t="s">
        <v>617</v>
      </c>
      <c r="D263" s="2" t="s">
        <v>618</v>
      </c>
      <c r="E263" s="6" t="s">
        <v>264</v>
      </c>
      <c r="F263" s="4" t="s">
        <v>17</v>
      </c>
      <c r="G263" s="2" t="s">
        <v>17</v>
      </c>
      <c r="H263" s="5" t="s">
        <v>18</v>
      </c>
      <c r="I263" s="2"/>
      <c r="J263" s="2"/>
      <c r="K263" s="2" t="s">
        <v>19</v>
      </c>
      <c r="L263" s="2"/>
    </row>
    <row r="264" spans="1:12" ht="39" x14ac:dyDescent="0.2">
      <c r="A264" s="2" t="s">
        <v>554</v>
      </c>
      <c r="B264" s="2" t="s">
        <v>616</v>
      </c>
      <c r="C264" s="2" t="s">
        <v>619</v>
      </c>
      <c r="D264" s="2" t="s">
        <v>620</v>
      </c>
      <c r="E264" s="6" t="s">
        <v>264</v>
      </c>
      <c r="F264" s="4" t="s">
        <v>17</v>
      </c>
      <c r="G264" s="2" t="s">
        <v>17</v>
      </c>
      <c r="H264" s="5" t="s">
        <v>18</v>
      </c>
      <c r="I264" s="2"/>
      <c r="J264" s="2"/>
      <c r="K264" s="2" t="s">
        <v>19</v>
      </c>
      <c r="L264" s="2"/>
    </row>
    <row r="265" spans="1:12" ht="52" x14ac:dyDescent="0.2">
      <c r="A265" s="2" t="s">
        <v>554</v>
      </c>
      <c r="B265" s="2" t="s">
        <v>621</v>
      </c>
      <c r="C265" s="2" t="s">
        <v>622</v>
      </c>
      <c r="D265" s="2" t="s">
        <v>623</v>
      </c>
      <c r="E265" s="6" t="s">
        <v>264</v>
      </c>
      <c r="F265" s="4" t="s">
        <v>17</v>
      </c>
      <c r="G265" s="2" t="s">
        <v>17</v>
      </c>
      <c r="H265" s="5" t="s">
        <v>18</v>
      </c>
      <c r="I265" s="2"/>
      <c r="J265" s="2"/>
      <c r="K265" s="2" t="s">
        <v>19</v>
      </c>
      <c r="L265" s="2"/>
    </row>
    <row r="266" spans="1:12" ht="52" x14ac:dyDescent="0.2">
      <c r="A266" s="2" t="s">
        <v>554</v>
      </c>
      <c r="B266" s="2" t="s">
        <v>621</v>
      </c>
      <c r="C266" s="2" t="s">
        <v>624</v>
      </c>
      <c r="D266" s="2" t="s">
        <v>625</v>
      </c>
      <c r="E266" s="6" t="s">
        <v>264</v>
      </c>
      <c r="F266" s="4" t="s">
        <v>17</v>
      </c>
      <c r="G266" s="2" t="s">
        <v>17</v>
      </c>
      <c r="H266" s="5" t="s">
        <v>18</v>
      </c>
      <c r="I266" s="2"/>
      <c r="J266" s="2"/>
      <c r="K266" s="2" t="s">
        <v>19</v>
      </c>
      <c r="L266" s="2"/>
    </row>
    <row r="267" spans="1:12" ht="39" x14ac:dyDescent="0.2">
      <c r="A267" s="2" t="s">
        <v>554</v>
      </c>
      <c r="B267" s="2" t="s">
        <v>621</v>
      </c>
      <c r="C267" s="2" t="s">
        <v>626</v>
      </c>
      <c r="D267" s="2" t="s">
        <v>627</v>
      </c>
      <c r="E267" s="6" t="s">
        <v>264</v>
      </c>
      <c r="F267" s="4" t="s">
        <v>17</v>
      </c>
      <c r="G267" s="2" t="s">
        <v>17</v>
      </c>
      <c r="H267" s="5" t="s">
        <v>18</v>
      </c>
      <c r="I267" s="2"/>
      <c r="J267" s="2"/>
      <c r="K267" s="2" t="s">
        <v>19</v>
      </c>
      <c r="L267" s="2"/>
    </row>
    <row r="268" spans="1:12" ht="52" x14ac:dyDescent="0.2">
      <c r="A268" s="2" t="s">
        <v>628</v>
      </c>
      <c r="B268" s="2" t="s">
        <v>629</v>
      </c>
      <c r="C268" s="2" t="s">
        <v>630</v>
      </c>
      <c r="D268" s="2" t="s">
        <v>631</v>
      </c>
      <c r="E268" s="3" t="s">
        <v>16</v>
      </c>
      <c r="F268" s="4" t="s">
        <v>17</v>
      </c>
      <c r="G268" s="2" t="s">
        <v>17</v>
      </c>
      <c r="H268" s="5" t="s">
        <v>18</v>
      </c>
      <c r="I268" s="2"/>
      <c r="J268" s="2"/>
      <c r="K268" s="2" t="s">
        <v>19</v>
      </c>
      <c r="L268" s="2"/>
    </row>
    <row r="269" spans="1:12" ht="39" x14ac:dyDescent="0.2">
      <c r="A269" s="2" t="s">
        <v>628</v>
      </c>
      <c r="B269" s="2" t="s">
        <v>629</v>
      </c>
      <c r="C269" s="2" t="s">
        <v>632</v>
      </c>
      <c r="D269" s="2" t="s">
        <v>633</v>
      </c>
      <c r="E269" s="3" t="s">
        <v>16</v>
      </c>
      <c r="F269" s="4" t="s">
        <v>17</v>
      </c>
      <c r="G269" s="2" t="s">
        <v>17</v>
      </c>
      <c r="H269" s="5" t="s">
        <v>18</v>
      </c>
      <c r="I269" s="2"/>
      <c r="J269" s="2"/>
      <c r="K269" s="2" t="s">
        <v>19</v>
      </c>
      <c r="L269" s="2"/>
    </row>
    <row r="270" spans="1:12" ht="39" x14ac:dyDescent="0.2">
      <c r="A270" s="2" t="s">
        <v>628</v>
      </c>
      <c r="B270" s="2" t="s">
        <v>629</v>
      </c>
      <c r="C270" s="2" t="s">
        <v>634</v>
      </c>
      <c r="D270" s="2" t="s">
        <v>635</v>
      </c>
      <c r="E270" s="3" t="s">
        <v>16</v>
      </c>
      <c r="F270" s="4" t="s">
        <v>17</v>
      </c>
      <c r="G270" s="2" t="s">
        <v>17</v>
      </c>
      <c r="H270" s="5" t="s">
        <v>18</v>
      </c>
      <c r="I270" s="2"/>
      <c r="J270" s="2"/>
      <c r="K270" s="2" t="s">
        <v>19</v>
      </c>
      <c r="L270" s="2"/>
    </row>
    <row r="271" spans="1:12" ht="26" x14ac:dyDescent="0.2">
      <c r="A271" s="2" t="s">
        <v>628</v>
      </c>
      <c r="B271" s="2" t="s">
        <v>629</v>
      </c>
      <c r="C271" s="2" t="s">
        <v>636</v>
      </c>
      <c r="D271" s="2" t="s">
        <v>637</v>
      </c>
      <c r="E271" s="3" t="s">
        <v>16</v>
      </c>
      <c r="F271" s="4" t="s">
        <v>17</v>
      </c>
      <c r="G271" s="2" t="s">
        <v>17</v>
      </c>
      <c r="H271" s="5" t="s">
        <v>18</v>
      </c>
      <c r="I271" s="2"/>
      <c r="J271" s="2"/>
      <c r="K271" s="2" t="s">
        <v>19</v>
      </c>
      <c r="L271" s="2"/>
    </row>
    <row r="272" spans="1:12" ht="39" x14ac:dyDescent="0.2">
      <c r="A272" s="2" t="s">
        <v>628</v>
      </c>
      <c r="B272" s="2" t="s">
        <v>629</v>
      </c>
      <c r="C272" s="2" t="s">
        <v>638</v>
      </c>
      <c r="D272" s="2" t="s">
        <v>639</v>
      </c>
      <c r="E272" s="3" t="s">
        <v>16</v>
      </c>
      <c r="F272" s="4" t="s">
        <v>17</v>
      </c>
      <c r="G272" s="2" t="s">
        <v>17</v>
      </c>
      <c r="H272" s="5" t="s">
        <v>18</v>
      </c>
      <c r="I272" s="2"/>
      <c r="J272" s="2"/>
      <c r="K272" s="2" t="s">
        <v>19</v>
      </c>
      <c r="L272" s="2"/>
    </row>
    <row r="273" spans="1:12" ht="52" x14ac:dyDescent="0.2">
      <c r="A273" s="2" t="s">
        <v>628</v>
      </c>
      <c r="B273" s="2" t="s">
        <v>640</v>
      </c>
      <c r="C273" s="2" t="s">
        <v>641</v>
      </c>
      <c r="D273" s="2" t="s">
        <v>642</v>
      </c>
      <c r="E273" s="3" t="s">
        <v>16</v>
      </c>
      <c r="F273" s="4" t="s">
        <v>17</v>
      </c>
      <c r="G273" s="2" t="s">
        <v>17</v>
      </c>
      <c r="H273" s="5" t="s">
        <v>18</v>
      </c>
      <c r="I273" s="2"/>
      <c r="J273" s="2"/>
      <c r="K273" s="2" t="s">
        <v>19</v>
      </c>
      <c r="L273" s="2"/>
    </row>
    <row r="274" spans="1:12" ht="52" x14ac:dyDescent="0.2">
      <c r="A274" s="2" t="s">
        <v>628</v>
      </c>
      <c r="B274" s="2" t="s">
        <v>640</v>
      </c>
      <c r="C274" s="2" t="s">
        <v>643</v>
      </c>
      <c r="D274" s="2" t="s">
        <v>644</v>
      </c>
      <c r="E274" s="3" t="s">
        <v>16</v>
      </c>
      <c r="F274" s="4" t="s">
        <v>17</v>
      </c>
      <c r="G274" s="2" t="s">
        <v>17</v>
      </c>
      <c r="H274" s="5" t="s">
        <v>18</v>
      </c>
      <c r="I274" s="2"/>
      <c r="J274" s="2"/>
      <c r="K274" s="2" t="s">
        <v>19</v>
      </c>
      <c r="L274" s="2"/>
    </row>
    <row r="275" spans="1:12" ht="52" x14ac:dyDescent="0.2">
      <c r="A275" s="2" t="s">
        <v>628</v>
      </c>
      <c r="B275" s="2" t="s">
        <v>640</v>
      </c>
      <c r="C275" s="2" t="s">
        <v>645</v>
      </c>
      <c r="D275" s="2" t="s">
        <v>646</v>
      </c>
      <c r="E275" s="3" t="s">
        <v>16</v>
      </c>
      <c r="F275" s="4" t="s">
        <v>17</v>
      </c>
      <c r="G275" s="2" t="s">
        <v>17</v>
      </c>
      <c r="H275" s="5" t="s">
        <v>18</v>
      </c>
      <c r="I275" s="2"/>
      <c r="J275" s="2"/>
      <c r="K275" s="2" t="s">
        <v>19</v>
      </c>
      <c r="L275" s="2"/>
    </row>
    <row r="276" spans="1:12" ht="39" x14ac:dyDescent="0.2">
      <c r="A276" s="2" t="s">
        <v>628</v>
      </c>
      <c r="B276" s="2" t="s">
        <v>640</v>
      </c>
      <c r="C276" s="2" t="s">
        <v>647</v>
      </c>
      <c r="D276" s="2" t="s">
        <v>648</v>
      </c>
      <c r="E276" s="3" t="s">
        <v>16</v>
      </c>
      <c r="F276" s="4" t="s">
        <v>17</v>
      </c>
      <c r="G276" s="2" t="s">
        <v>17</v>
      </c>
      <c r="H276" s="5" t="s">
        <v>18</v>
      </c>
      <c r="I276" s="2"/>
      <c r="J276" s="2"/>
      <c r="K276" s="2" t="s">
        <v>19</v>
      </c>
      <c r="L276" s="2"/>
    </row>
    <row r="277" spans="1:12" ht="39" x14ac:dyDescent="0.2">
      <c r="A277" s="2" t="s">
        <v>628</v>
      </c>
      <c r="B277" s="2" t="s">
        <v>640</v>
      </c>
      <c r="C277" s="2" t="s">
        <v>649</v>
      </c>
      <c r="D277" s="2" t="s">
        <v>650</v>
      </c>
      <c r="E277" s="3" t="s">
        <v>16</v>
      </c>
      <c r="F277" s="4" t="s">
        <v>17</v>
      </c>
      <c r="G277" s="2" t="s">
        <v>17</v>
      </c>
      <c r="H277" s="5" t="s">
        <v>18</v>
      </c>
      <c r="I277" s="2"/>
      <c r="J277" s="2"/>
      <c r="K277" s="2" t="s">
        <v>19</v>
      </c>
      <c r="L277" s="2"/>
    </row>
    <row r="278" spans="1:12" ht="156" x14ac:dyDescent="0.2">
      <c r="A278" s="2" t="s">
        <v>628</v>
      </c>
      <c r="B278" s="2" t="s">
        <v>640</v>
      </c>
      <c r="C278" s="2" t="s">
        <v>651</v>
      </c>
      <c r="D278" s="2" t="s">
        <v>652</v>
      </c>
      <c r="E278" s="3" t="s">
        <v>16</v>
      </c>
      <c r="F278" s="4" t="s">
        <v>17</v>
      </c>
      <c r="G278" s="2" t="s">
        <v>17</v>
      </c>
      <c r="H278" s="5" t="s">
        <v>18</v>
      </c>
      <c r="I278" s="2"/>
      <c r="J278" s="2"/>
      <c r="K278" s="2" t="s">
        <v>19</v>
      </c>
      <c r="L278" s="2"/>
    </row>
    <row r="279" spans="1:12" ht="52" x14ac:dyDescent="0.2">
      <c r="A279" s="2" t="s">
        <v>628</v>
      </c>
      <c r="B279" s="2" t="s">
        <v>653</v>
      </c>
      <c r="C279" s="2" t="s">
        <v>654</v>
      </c>
      <c r="D279" s="2" t="s">
        <v>655</v>
      </c>
      <c r="E279" s="3" t="s">
        <v>16</v>
      </c>
      <c r="F279" s="4" t="s">
        <v>17</v>
      </c>
      <c r="G279" s="2" t="s">
        <v>17</v>
      </c>
      <c r="H279" s="5" t="s">
        <v>18</v>
      </c>
      <c r="I279" s="2"/>
      <c r="J279" s="2"/>
      <c r="K279" s="2" t="s">
        <v>19</v>
      </c>
      <c r="L279" s="2"/>
    </row>
    <row r="280" spans="1:12" ht="39" x14ac:dyDescent="0.2">
      <c r="A280" s="2" t="s">
        <v>628</v>
      </c>
      <c r="B280" s="2" t="s">
        <v>653</v>
      </c>
      <c r="C280" s="2" t="s">
        <v>656</v>
      </c>
      <c r="D280" s="2" t="s">
        <v>657</v>
      </c>
      <c r="E280" s="3" t="s">
        <v>16</v>
      </c>
      <c r="F280" s="4" t="s">
        <v>17</v>
      </c>
      <c r="G280" s="2" t="s">
        <v>17</v>
      </c>
      <c r="H280" s="5" t="s">
        <v>18</v>
      </c>
      <c r="I280" s="2"/>
      <c r="J280" s="2"/>
      <c r="K280" s="2" t="s">
        <v>19</v>
      </c>
      <c r="L280" s="2"/>
    </row>
    <row r="281" spans="1:12" ht="52" x14ac:dyDescent="0.2">
      <c r="A281" s="2" t="s">
        <v>628</v>
      </c>
      <c r="B281" s="2" t="s">
        <v>653</v>
      </c>
      <c r="C281" s="2" t="s">
        <v>658</v>
      </c>
      <c r="D281" s="2" t="s">
        <v>659</v>
      </c>
      <c r="E281" s="3" t="s">
        <v>16</v>
      </c>
      <c r="F281" s="4" t="s">
        <v>17</v>
      </c>
      <c r="G281" s="2" t="s">
        <v>17</v>
      </c>
      <c r="H281" s="5" t="s">
        <v>18</v>
      </c>
      <c r="I281" s="2"/>
      <c r="J281" s="2"/>
      <c r="K281" s="2" t="s">
        <v>19</v>
      </c>
      <c r="L281" s="2"/>
    </row>
    <row r="282" spans="1:12" ht="52" x14ac:dyDescent="0.2">
      <c r="A282" s="2" t="s">
        <v>628</v>
      </c>
      <c r="B282" s="2" t="s">
        <v>653</v>
      </c>
      <c r="C282" s="2" t="s">
        <v>660</v>
      </c>
      <c r="D282" s="2" t="s">
        <v>661</v>
      </c>
      <c r="E282" s="3" t="s">
        <v>16</v>
      </c>
      <c r="F282" s="4" t="s">
        <v>17</v>
      </c>
      <c r="G282" s="2" t="s">
        <v>17</v>
      </c>
      <c r="H282" s="5" t="s">
        <v>18</v>
      </c>
      <c r="I282" s="2"/>
      <c r="J282" s="2"/>
      <c r="K282" s="2" t="s">
        <v>19</v>
      </c>
      <c r="L282" s="2"/>
    </row>
    <row r="283" spans="1:12" ht="52" x14ac:dyDescent="0.2">
      <c r="A283" s="2" t="s">
        <v>628</v>
      </c>
      <c r="B283" s="2" t="s">
        <v>653</v>
      </c>
      <c r="C283" s="2" t="s">
        <v>662</v>
      </c>
      <c r="D283" s="2" t="s">
        <v>663</v>
      </c>
      <c r="E283" s="3" t="s">
        <v>16</v>
      </c>
      <c r="F283" s="4" t="s">
        <v>17</v>
      </c>
      <c r="G283" s="2" t="s">
        <v>17</v>
      </c>
      <c r="H283" s="5" t="s">
        <v>18</v>
      </c>
      <c r="I283" s="2"/>
      <c r="J283" s="2"/>
      <c r="K283" s="2" t="s">
        <v>19</v>
      </c>
      <c r="L283" s="2"/>
    </row>
    <row r="284" spans="1:12" ht="52" x14ac:dyDescent="0.2">
      <c r="A284" s="2" t="s">
        <v>628</v>
      </c>
      <c r="B284" s="2" t="s">
        <v>653</v>
      </c>
      <c r="C284" s="2" t="s">
        <v>664</v>
      </c>
      <c r="D284" s="2" t="s">
        <v>665</v>
      </c>
      <c r="E284" s="3" t="s">
        <v>16</v>
      </c>
      <c r="F284" s="4" t="s">
        <v>17</v>
      </c>
      <c r="G284" s="2" t="s">
        <v>17</v>
      </c>
      <c r="H284" s="5" t="s">
        <v>18</v>
      </c>
      <c r="I284" s="2"/>
      <c r="J284" s="2"/>
      <c r="K284" s="2" t="s">
        <v>19</v>
      </c>
      <c r="L284" s="2"/>
    </row>
    <row r="285" spans="1:12" ht="65" x14ac:dyDescent="0.2">
      <c r="A285" s="2" t="s">
        <v>628</v>
      </c>
      <c r="B285" s="2" t="s">
        <v>653</v>
      </c>
      <c r="C285" s="2" t="s">
        <v>666</v>
      </c>
      <c r="D285" s="2" t="s">
        <v>667</v>
      </c>
      <c r="E285" s="3" t="s">
        <v>16</v>
      </c>
      <c r="F285" s="4" t="s">
        <v>17</v>
      </c>
      <c r="G285" s="2" t="s">
        <v>17</v>
      </c>
      <c r="H285" s="5" t="s">
        <v>18</v>
      </c>
      <c r="I285" s="2"/>
      <c r="J285" s="2"/>
      <c r="K285" s="2" t="s">
        <v>19</v>
      </c>
      <c r="L285" s="2"/>
    </row>
    <row r="286" spans="1:12" ht="52" x14ac:dyDescent="0.2">
      <c r="A286" s="2" t="s">
        <v>628</v>
      </c>
      <c r="B286" s="2" t="s">
        <v>653</v>
      </c>
      <c r="C286" s="2" t="s">
        <v>668</v>
      </c>
      <c r="D286" s="2" t="s">
        <v>669</v>
      </c>
      <c r="E286" s="3" t="s">
        <v>16</v>
      </c>
      <c r="F286" s="4" t="s">
        <v>17</v>
      </c>
      <c r="G286" s="2" t="s">
        <v>17</v>
      </c>
      <c r="H286" s="5" t="s">
        <v>18</v>
      </c>
      <c r="I286" s="2"/>
      <c r="J286" s="2"/>
      <c r="K286" s="2" t="s">
        <v>19</v>
      </c>
      <c r="L286" s="2"/>
    </row>
    <row r="287" spans="1:12" ht="65" x14ac:dyDescent="0.2">
      <c r="A287" s="2" t="s">
        <v>628</v>
      </c>
      <c r="B287" s="2" t="s">
        <v>653</v>
      </c>
      <c r="C287" s="2" t="s">
        <v>670</v>
      </c>
      <c r="D287" s="2" t="s">
        <v>671</v>
      </c>
      <c r="E287" s="3" t="s">
        <v>16</v>
      </c>
      <c r="F287" s="4" t="s">
        <v>17</v>
      </c>
      <c r="G287" s="2" t="s">
        <v>17</v>
      </c>
      <c r="H287" s="5" t="s">
        <v>18</v>
      </c>
      <c r="I287" s="2"/>
      <c r="J287" s="2"/>
      <c r="K287" s="2" t="s">
        <v>19</v>
      </c>
      <c r="L287" s="2"/>
    </row>
    <row r="288" spans="1:12" ht="65" x14ac:dyDescent="0.2">
      <c r="A288" s="2" t="s">
        <v>628</v>
      </c>
      <c r="B288" s="2" t="s">
        <v>653</v>
      </c>
      <c r="C288" s="2" t="s">
        <v>672</v>
      </c>
      <c r="D288" s="2" t="s">
        <v>673</v>
      </c>
      <c r="E288" s="3" t="s">
        <v>16</v>
      </c>
      <c r="F288" s="4" t="s">
        <v>17</v>
      </c>
      <c r="G288" s="2" t="s">
        <v>17</v>
      </c>
      <c r="H288" s="5" t="s">
        <v>18</v>
      </c>
      <c r="I288" s="2"/>
      <c r="J288" s="2"/>
      <c r="K288" s="2" t="s">
        <v>19</v>
      </c>
      <c r="L288" s="2"/>
    </row>
    <row r="289" spans="1:12" ht="65" x14ac:dyDescent="0.2">
      <c r="A289" s="2" t="s">
        <v>628</v>
      </c>
      <c r="B289" s="2" t="s">
        <v>653</v>
      </c>
      <c r="C289" s="2" t="s">
        <v>674</v>
      </c>
      <c r="D289" s="2" t="s">
        <v>675</v>
      </c>
      <c r="E289" s="3" t="s">
        <v>16</v>
      </c>
      <c r="F289" s="4" t="s">
        <v>17</v>
      </c>
      <c r="G289" s="2" t="s">
        <v>17</v>
      </c>
      <c r="H289" s="5" t="s">
        <v>18</v>
      </c>
      <c r="I289" s="2"/>
      <c r="J289" s="2"/>
      <c r="K289" s="2" t="s">
        <v>19</v>
      </c>
      <c r="L289" s="2"/>
    </row>
    <row r="290" spans="1:12" ht="52" x14ac:dyDescent="0.2">
      <c r="A290" s="2" t="s">
        <v>628</v>
      </c>
      <c r="B290" s="2" t="s">
        <v>653</v>
      </c>
      <c r="C290" s="2" t="s">
        <v>676</v>
      </c>
      <c r="D290" s="2" t="s">
        <v>677</v>
      </c>
      <c r="E290" s="3" t="s">
        <v>16</v>
      </c>
      <c r="F290" s="4" t="s">
        <v>17</v>
      </c>
      <c r="G290" s="2" t="s">
        <v>17</v>
      </c>
      <c r="H290" s="5" t="s">
        <v>18</v>
      </c>
      <c r="I290" s="2"/>
      <c r="J290" s="2"/>
      <c r="K290" s="2" t="s">
        <v>19</v>
      </c>
      <c r="L290" s="2"/>
    </row>
    <row r="291" spans="1:12" ht="39" x14ac:dyDescent="0.2">
      <c r="A291" s="2" t="s">
        <v>628</v>
      </c>
      <c r="B291" s="2" t="s">
        <v>678</v>
      </c>
      <c r="C291" s="2" t="s">
        <v>679</v>
      </c>
      <c r="D291" s="2" t="s">
        <v>680</v>
      </c>
      <c r="E291" s="3" t="s">
        <v>16</v>
      </c>
      <c r="F291" s="4" t="s">
        <v>17</v>
      </c>
      <c r="G291" s="2" t="s">
        <v>17</v>
      </c>
      <c r="H291" s="5" t="s">
        <v>18</v>
      </c>
      <c r="I291" s="2"/>
      <c r="J291" s="2"/>
      <c r="K291" s="2" t="s">
        <v>19</v>
      </c>
      <c r="L291" s="2"/>
    </row>
    <row r="292" spans="1:12" ht="39" x14ac:dyDescent="0.2">
      <c r="A292" s="2" t="s">
        <v>628</v>
      </c>
      <c r="B292" s="2" t="s">
        <v>678</v>
      </c>
      <c r="C292" s="2" t="s">
        <v>681</v>
      </c>
      <c r="D292" s="2" t="s">
        <v>682</v>
      </c>
      <c r="E292" s="3" t="s">
        <v>16</v>
      </c>
      <c r="F292" s="4" t="s">
        <v>17</v>
      </c>
      <c r="G292" s="2" t="s">
        <v>17</v>
      </c>
      <c r="H292" s="5" t="s">
        <v>18</v>
      </c>
      <c r="I292" s="2"/>
      <c r="J292" s="2"/>
      <c r="K292" s="2" t="s">
        <v>19</v>
      </c>
      <c r="L292" s="2"/>
    </row>
    <row r="293" spans="1:12" ht="52" x14ac:dyDescent="0.2">
      <c r="A293" s="2" t="s">
        <v>628</v>
      </c>
      <c r="B293" s="2" t="s">
        <v>678</v>
      </c>
      <c r="C293" s="2" t="s">
        <v>683</v>
      </c>
      <c r="D293" s="2" t="s">
        <v>684</v>
      </c>
      <c r="E293" s="3" t="s">
        <v>16</v>
      </c>
      <c r="F293" s="4" t="s">
        <v>17</v>
      </c>
      <c r="G293" s="2" t="s">
        <v>17</v>
      </c>
      <c r="H293" s="5" t="s">
        <v>18</v>
      </c>
      <c r="I293" s="2"/>
      <c r="J293" s="2"/>
      <c r="K293" s="2" t="s">
        <v>19</v>
      </c>
      <c r="L293" s="2"/>
    </row>
    <row r="294" spans="1:12" ht="39" x14ac:dyDescent="0.2">
      <c r="A294" s="2" t="s">
        <v>628</v>
      </c>
      <c r="B294" s="2" t="s">
        <v>678</v>
      </c>
      <c r="C294" s="2" t="s">
        <v>685</v>
      </c>
      <c r="D294" s="2" t="s">
        <v>686</v>
      </c>
      <c r="E294" s="3" t="s">
        <v>16</v>
      </c>
      <c r="F294" s="4" t="s">
        <v>17</v>
      </c>
      <c r="G294" s="2" t="s">
        <v>17</v>
      </c>
      <c r="H294" s="5" t="s">
        <v>18</v>
      </c>
      <c r="I294" s="2"/>
      <c r="J294" s="2"/>
      <c r="K294" s="2" t="s">
        <v>19</v>
      </c>
      <c r="L294" s="2"/>
    </row>
    <row r="295" spans="1:12" ht="65" x14ac:dyDescent="0.2">
      <c r="A295" s="2" t="s">
        <v>628</v>
      </c>
      <c r="B295" s="2" t="s">
        <v>678</v>
      </c>
      <c r="C295" s="2" t="s">
        <v>687</v>
      </c>
      <c r="D295" s="2" t="s">
        <v>688</v>
      </c>
      <c r="E295" s="3" t="s">
        <v>16</v>
      </c>
      <c r="F295" s="4" t="s">
        <v>17</v>
      </c>
      <c r="G295" s="2" t="s">
        <v>17</v>
      </c>
      <c r="H295" s="5" t="s">
        <v>18</v>
      </c>
      <c r="I295" s="2"/>
      <c r="J295" s="2"/>
      <c r="K295" s="2" t="s">
        <v>19</v>
      </c>
      <c r="L295" s="2"/>
    </row>
    <row r="296" spans="1:12" ht="26" x14ac:dyDescent="0.2">
      <c r="A296" s="2" t="s">
        <v>628</v>
      </c>
      <c r="B296" s="2" t="s">
        <v>689</v>
      </c>
      <c r="C296" s="2" t="s">
        <v>690</v>
      </c>
      <c r="D296" s="2" t="s">
        <v>691</v>
      </c>
      <c r="E296" s="3" t="s">
        <v>16</v>
      </c>
      <c r="F296" s="4" t="s">
        <v>17</v>
      </c>
      <c r="G296" s="2" t="s">
        <v>17</v>
      </c>
      <c r="H296" s="5" t="s">
        <v>18</v>
      </c>
      <c r="I296" s="2"/>
      <c r="J296" s="2"/>
      <c r="K296" s="2" t="s">
        <v>19</v>
      </c>
      <c r="L296" s="2"/>
    </row>
    <row r="297" spans="1:12" ht="26" x14ac:dyDescent="0.2">
      <c r="A297" s="2" t="s">
        <v>628</v>
      </c>
      <c r="B297" s="2" t="s">
        <v>689</v>
      </c>
      <c r="C297" s="2" t="s">
        <v>692</v>
      </c>
      <c r="D297" s="2" t="s">
        <v>693</v>
      </c>
      <c r="E297" s="3" t="s">
        <v>16</v>
      </c>
      <c r="F297" s="4" t="s">
        <v>17</v>
      </c>
      <c r="G297" s="2" t="s">
        <v>17</v>
      </c>
      <c r="H297" s="5" t="s">
        <v>18</v>
      </c>
      <c r="I297" s="2"/>
      <c r="J297" s="2"/>
      <c r="K297" s="2" t="s">
        <v>19</v>
      </c>
      <c r="L297" s="2"/>
    </row>
    <row r="298" spans="1:12" ht="52" x14ac:dyDescent="0.2">
      <c r="A298" s="2" t="s">
        <v>628</v>
      </c>
      <c r="B298" s="2" t="s">
        <v>689</v>
      </c>
      <c r="C298" s="2" t="s">
        <v>694</v>
      </c>
      <c r="D298" s="2" t="s">
        <v>695</v>
      </c>
      <c r="E298" s="3" t="s">
        <v>16</v>
      </c>
      <c r="F298" s="4" t="s">
        <v>17</v>
      </c>
      <c r="G298" s="2" t="s">
        <v>17</v>
      </c>
      <c r="H298" s="5" t="s">
        <v>18</v>
      </c>
      <c r="I298" s="2"/>
      <c r="J298" s="2"/>
      <c r="K298" s="2" t="s">
        <v>19</v>
      </c>
      <c r="L298" s="2"/>
    </row>
    <row r="299" spans="1:12" ht="39" x14ac:dyDescent="0.2">
      <c r="A299" s="2" t="s">
        <v>628</v>
      </c>
      <c r="B299" s="2" t="s">
        <v>689</v>
      </c>
      <c r="C299" s="2" t="s">
        <v>696</v>
      </c>
      <c r="D299" s="2" t="s">
        <v>697</v>
      </c>
      <c r="E299" s="3" t="s">
        <v>16</v>
      </c>
      <c r="F299" s="4" t="s">
        <v>17</v>
      </c>
      <c r="G299" s="2" t="s">
        <v>17</v>
      </c>
      <c r="H299" s="5" t="s">
        <v>18</v>
      </c>
      <c r="I299" s="2"/>
      <c r="J299" s="2"/>
      <c r="K299" s="2" t="s">
        <v>19</v>
      </c>
      <c r="L299" s="2"/>
    </row>
    <row r="300" spans="1:12" ht="39" x14ac:dyDescent="0.2">
      <c r="A300" s="2" t="s">
        <v>628</v>
      </c>
      <c r="B300" s="2" t="s">
        <v>689</v>
      </c>
      <c r="C300" s="2" t="s">
        <v>698</v>
      </c>
      <c r="D300" s="2" t="s">
        <v>699</v>
      </c>
      <c r="E300" s="3" t="s">
        <v>16</v>
      </c>
      <c r="F300" s="4" t="s">
        <v>17</v>
      </c>
      <c r="G300" s="2" t="s">
        <v>17</v>
      </c>
      <c r="H300" s="5" t="s">
        <v>18</v>
      </c>
      <c r="I300" s="2"/>
      <c r="J300" s="2"/>
      <c r="K300" s="2" t="s">
        <v>19</v>
      </c>
      <c r="L300" s="2"/>
    </row>
    <row r="301" spans="1:12" ht="39" x14ac:dyDescent="0.2">
      <c r="A301" s="2" t="s">
        <v>628</v>
      </c>
      <c r="B301" s="2" t="s">
        <v>689</v>
      </c>
      <c r="C301" s="2" t="s">
        <v>700</v>
      </c>
      <c r="D301" s="2" t="s">
        <v>701</v>
      </c>
      <c r="E301" s="3" t="s">
        <v>16</v>
      </c>
      <c r="F301" s="4" t="s">
        <v>17</v>
      </c>
      <c r="G301" s="2" t="s">
        <v>17</v>
      </c>
      <c r="H301" s="5" t="s">
        <v>18</v>
      </c>
      <c r="I301" s="2"/>
      <c r="J301" s="2"/>
      <c r="K301" s="2" t="s">
        <v>19</v>
      </c>
      <c r="L301" s="2"/>
    </row>
    <row r="302" spans="1:12" ht="52" x14ac:dyDescent="0.2">
      <c r="A302" s="2" t="s">
        <v>628</v>
      </c>
      <c r="B302" s="2" t="s">
        <v>702</v>
      </c>
      <c r="C302" s="2" t="s">
        <v>703</v>
      </c>
      <c r="D302" s="2" t="s">
        <v>704</v>
      </c>
      <c r="E302" s="3" t="s">
        <v>16</v>
      </c>
      <c r="F302" s="4" t="s">
        <v>17</v>
      </c>
      <c r="G302" s="2" t="s">
        <v>17</v>
      </c>
      <c r="H302" s="5" t="s">
        <v>18</v>
      </c>
      <c r="I302" s="2"/>
      <c r="J302" s="2"/>
      <c r="K302" s="2" t="s">
        <v>19</v>
      </c>
      <c r="L302" s="2"/>
    </row>
    <row r="303" spans="1:12" ht="52" x14ac:dyDescent="0.2">
      <c r="A303" s="2" t="s">
        <v>628</v>
      </c>
      <c r="B303" s="2" t="s">
        <v>702</v>
      </c>
      <c r="C303" s="2" t="s">
        <v>705</v>
      </c>
      <c r="D303" s="2" t="s">
        <v>706</v>
      </c>
      <c r="E303" s="3" t="s">
        <v>16</v>
      </c>
      <c r="F303" s="4" t="s">
        <v>17</v>
      </c>
      <c r="G303" s="2" t="s">
        <v>17</v>
      </c>
      <c r="H303" s="5" t="s">
        <v>18</v>
      </c>
      <c r="I303" s="2"/>
      <c r="J303" s="2"/>
      <c r="K303" s="2" t="s">
        <v>19</v>
      </c>
      <c r="L303" s="2"/>
    </row>
    <row r="304" spans="1:12" ht="52" x14ac:dyDescent="0.2">
      <c r="A304" s="2" t="s">
        <v>628</v>
      </c>
      <c r="B304" s="2" t="s">
        <v>702</v>
      </c>
      <c r="C304" s="2" t="s">
        <v>707</v>
      </c>
      <c r="D304" s="2" t="s">
        <v>708</v>
      </c>
      <c r="E304" s="3" t="s">
        <v>16</v>
      </c>
      <c r="F304" s="4" t="s">
        <v>17</v>
      </c>
      <c r="G304" s="2" t="s">
        <v>17</v>
      </c>
      <c r="H304" s="5" t="s">
        <v>18</v>
      </c>
      <c r="I304" s="2"/>
      <c r="J304" s="2"/>
      <c r="K304" s="2" t="s">
        <v>19</v>
      </c>
      <c r="L304" s="2"/>
    </row>
    <row r="305" spans="1:12" ht="52" x14ac:dyDescent="0.2">
      <c r="A305" s="2" t="s">
        <v>628</v>
      </c>
      <c r="B305" s="2" t="s">
        <v>702</v>
      </c>
      <c r="C305" s="2" t="s">
        <v>709</v>
      </c>
      <c r="D305" s="2" t="s">
        <v>710</v>
      </c>
      <c r="E305" s="3" t="s">
        <v>16</v>
      </c>
      <c r="F305" s="4" t="s">
        <v>17</v>
      </c>
      <c r="G305" s="2" t="s">
        <v>17</v>
      </c>
      <c r="H305" s="5" t="s">
        <v>18</v>
      </c>
      <c r="I305" s="2"/>
      <c r="J305" s="2"/>
      <c r="K305" s="2" t="s">
        <v>19</v>
      </c>
      <c r="L305" s="2"/>
    </row>
    <row r="306" spans="1:12" ht="78" x14ac:dyDescent="0.2">
      <c r="A306" s="2" t="s">
        <v>628</v>
      </c>
      <c r="B306" s="2" t="s">
        <v>702</v>
      </c>
      <c r="C306" s="2" t="s">
        <v>711</v>
      </c>
      <c r="D306" s="2" t="s">
        <v>712</v>
      </c>
      <c r="E306" s="3" t="s">
        <v>16</v>
      </c>
      <c r="F306" s="4" t="s">
        <v>17</v>
      </c>
      <c r="G306" s="2" t="s">
        <v>17</v>
      </c>
      <c r="H306" s="5" t="s">
        <v>18</v>
      </c>
      <c r="I306" s="2"/>
      <c r="J306" s="2"/>
      <c r="K306" s="2" t="s">
        <v>19</v>
      </c>
      <c r="L306" s="2"/>
    </row>
    <row r="307" spans="1:12" ht="39" x14ac:dyDescent="0.2">
      <c r="A307" s="2" t="s">
        <v>628</v>
      </c>
      <c r="B307" s="2" t="s">
        <v>702</v>
      </c>
      <c r="C307" s="2" t="s">
        <v>713</v>
      </c>
      <c r="D307" s="2" t="s">
        <v>714</v>
      </c>
      <c r="E307" s="3" t="s">
        <v>16</v>
      </c>
      <c r="F307" s="4" t="s">
        <v>17</v>
      </c>
      <c r="G307" s="2" t="s">
        <v>17</v>
      </c>
      <c r="H307" s="5" t="s">
        <v>18</v>
      </c>
      <c r="I307" s="2"/>
      <c r="J307" s="2"/>
      <c r="K307" s="2" t="s">
        <v>19</v>
      </c>
      <c r="L307" s="2"/>
    </row>
    <row r="308" spans="1:12" ht="65" x14ac:dyDescent="0.2">
      <c r="A308" s="2" t="s">
        <v>628</v>
      </c>
      <c r="B308" s="2" t="s">
        <v>702</v>
      </c>
      <c r="C308" s="2" t="s">
        <v>715</v>
      </c>
      <c r="D308" s="2" t="s">
        <v>716</v>
      </c>
      <c r="E308" s="3" t="s">
        <v>16</v>
      </c>
      <c r="F308" s="4" t="s">
        <v>17</v>
      </c>
      <c r="G308" s="2" t="s">
        <v>17</v>
      </c>
      <c r="H308" s="5" t="s">
        <v>18</v>
      </c>
      <c r="I308" s="2"/>
      <c r="J308" s="2"/>
      <c r="K308" s="2" t="s">
        <v>19</v>
      </c>
      <c r="L308" s="2"/>
    </row>
    <row r="309" spans="1:12" ht="52" x14ac:dyDescent="0.2">
      <c r="A309" s="2" t="s">
        <v>628</v>
      </c>
      <c r="B309" s="2" t="s">
        <v>702</v>
      </c>
      <c r="C309" s="2" t="s">
        <v>717</v>
      </c>
      <c r="D309" s="2" t="s">
        <v>718</v>
      </c>
      <c r="E309" s="3" t="s">
        <v>16</v>
      </c>
      <c r="F309" s="4" t="s">
        <v>17</v>
      </c>
      <c r="G309" s="2" t="s">
        <v>17</v>
      </c>
      <c r="H309" s="5" t="s">
        <v>18</v>
      </c>
      <c r="I309" s="2"/>
      <c r="J309" s="2"/>
      <c r="K309" s="2" t="s">
        <v>19</v>
      </c>
      <c r="L309" s="2"/>
    </row>
    <row r="310" spans="1:12" ht="39" x14ac:dyDescent="0.2">
      <c r="A310" s="2" t="s">
        <v>628</v>
      </c>
      <c r="B310" s="2" t="s">
        <v>702</v>
      </c>
      <c r="C310" s="2" t="s">
        <v>719</v>
      </c>
      <c r="D310" s="2" t="s">
        <v>720</v>
      </c>
      <c r="E310" s="3" t="s">
        <v>16</v>
      </c>
      <c r="F310" s="4" t="s">
        <v>17</v>
      </c>
      <c r="G310" s="2" t="s">
        <v>17</v>
      </c>
      <c r="H310" s="5" t="s">
        <v>18</v>
      </c>
      <c r="I310" s="2"/>
      <c r="J310" s="2"/>
      <c r="K310" s="2" t="s">
        <v>19</v>
      </c>
      <c r="L310" s="2"/>
    </row>
    <row r="311" spans="1:12" ht="39" x14ac:dyDescent="0.2">
      <c r="A311" s="2" t="s">
        <v>628</v>
      </c>
      <c r="B311" s="2" t="s">
        <v>721</v>
      </c>
      <c r="C311" s="2" t="s">
        <v>722</v>
      </c>
      <c r="D311" s="2" t="s">
        <v>723</v>
      </c>
      <c r="E311" s="3" t="s">
        <v>16</v>
      </c>
      <c r="F311" s="4" t="s">
        <v>17</v>
      </c>
      <c r="G311" s="2" t="s">
        <v>17</v>
      </c>
      <c r="H311" s="5" t="s">
        <v>18</v>
      </c>
      <c r="I311" s="2"/>
      <c r="J311" s="2"/>
      <c r="K311" s="2" t="s">
        <v>19</v>
      </c>
      <c r="L311" s="2"/>
    </row>
    <row r="312" spans="1:12" ht="52" x14ac:dyDescent="0.2">
      <c r="A312" s="2" t="s">
        <v>628</v>
      </c>
      <c r="B312" s="2" t="s">
        <v>721</v>
      </c>
      <c r="C312" s="2" t="s">
        <v>724</v>
      </c>
      <c r="D312" s="2" t="s">
        <v>725</v>
      </c>
      <c r="E312" s="3" t="s">
        <v>16</v>
      </c>
      <c r="F312" s="4" t="s">
        <v>17</v>
      </c>
      <c r="G312" s="2" t="s">
        <v>17</v>
      </c>
      <c r="H312" s="5" t="s">
        <v>18</v>
      </c>
      <c r="I312" s="2"/>
      <c r="J312" s="2"/>
      <c r="K312" s="2" t="s">
        <v>19</v>
      </c>
      <c r="L312" s="2"/>
    </row>
    <row r="313" spans="1:12" ht="52" x14ac:dyDescent="0.2">
      <c r="A313" s="2" t="s">
        <v>628</v>
      </c>
      <c r="B313" s="2" t="s">
        <v>721</v>
      </c>
      <c r="C313" s="2" t="s">
        <v>726</v>
      </c>
      <c r="D313" s="2" t="s">
        <v>727</v>
      </c>
      <c r="E313" s="3" t="s">
        <v>16</v>
      </c>
      <c r="F313" s="4" t="s">
        <v>17</v>
      </c>
      <c r="G313" s="2" t="s">
        <v>17</v>
      </c>
      <c r="H313" s="5" t="s">
        <v>18</v>
      </c>
      <c r="I313" s="2"/>
      <c r="J313" s="2"/>
      <c r="K313" s="2" t="s">
        <v>19</v>
      </c>
      <c r="L313" s="2"/>
    </row>
    <row r="314" spans="1:12" ht="52" x14ac:dyDescent="0.2">
      <c r="A314" s="2" t="s">
        <v>628</v>
      </c>
      <c r="B314" s="2" t="s">
        <v>721</v>
      </c>
      <c r="C314" s="2" t="s">
        <v>728</v>
      </c>
      <c r="D314" s="2" t="s">
        <v>729</v>
      </c>
      <c r="E314" s="3" t="s">
        <v>16</v>
      </c>
      <c r="F314" s="4" t="s">
        <v>17</v>
      </c>
      <c r="G314" s="2" t="s">
        <v>17</v>
      </c>
      <c r="H314" s="5" t="s">
        <v>18</v>
      </c>
      <c r="I314" s="2"/>
      <c r="J314" s="2"/>
      <c r="K314" s="2" t="s">
        <v>19</v>
      </c>
      <c r="L314" s="2"/>
    </row>
    <row r="315" spans="1:12" ht="52" x14ac:dyDescent="0.2">
      <c r="A315" s="2" t="s">
        <v>628</v>
      </c>
      <c r="B315" s="2" t="s">
        <v>721</v>
      </c>
      <c r="C315" s="2" t="s">
        <v>730</v>
      </c>
      <c r="D315" s="2" t="s">
        <v>731</v>
      </c>
      <c r="E315" s="3" t="s">
        <v>16</v>
      </c>
      <c r="F315" s="4" t="s">
        <v>17</v>
      </c>
      <c r="G315" s="2" t="s">
        <v>17</v>
      </c>
      <c r="H315" s="5" t="s">
        <v>18</v>
      </c>
      <c r="I315" s="2"/>
      <c r="J315" s="2"/>
      <c r="K315" s="2" t="s">
        <v>19</v>
      </c>
      <c r="L315" s="2"/>
    </row>
    <row r="316" spans="1:12" ht="52" x14ac:dyDescent="0.2">
      <c r="A316" s="2" t="s">
        <v>628</v>
      </c>
      <c r="B316" s="2" t="s">
        <v>721</v>
      </c>
      <c r="C316" s="2" t="s">
        <v>732</v>
      </c>
      <c r="D316" s="2" t="s">
        <v>733</v>
      </c>
      <c r="E316" s="3" t="s">
        <v>16</v>
      </c>
      <c r="F316" s="4" t="s">
        <v>17</v>
      </c>
      <c r="G316" s="2" t="s">
        <v>17</v>
      </c>
      <c r="H316" s="5" t="s">
        <v>18</v>
      </c>
      <c r="I316" s="2"/>
      <c r="J316" s="2"/>
      <c r="K316" s="2" t="s">
        <v>19</v>
      </c>
      <c r="L316" s="2"/>
    </row>
    <row r="317" spans="1:12" ht="39" x14ac:dyDescent="0.2">
      <c r="A317" s="2" t="s">
        <v>628</v>
      </c>
      <c r="B317" s="2" t="s">
        <v>734</v>
      </c>
      <c r="C317" s="2" t="s">
        <v>735</v>
      </c>
      <c r="D317" s="2" t="s">
        <v>736</v>
      </c>
      <c r="E317" s="3" t="s">
        <v>16</v>
      </c>
      <c r="F317" s="4" t="s">
        <v>17</v>
      </c>
      <c r="G317" s="2" t="s">
        <v>17</v>
      </c>
      <c r="H317" s="5" t="s">
        <v>18</v>
      </c>
      <c r="I317" s="2"/>
      <c r="J317" s="2"/>
      <c r="K317" s="2" t="s">
        <v>19</v>
      </c>
      <c r="L317" s="2"/>
    </row>
    <row r="318" spans="1:12" ht="39" x14ac:dyDescent="0.2">
      <c r="A318" s="2" t="s">
        <v>628</v>
      </c>
      <c r="B318" s="2" t="s">
        <v>734</v>
      </c>
      <c r="C318" s="2" t="s">
        <v>737</v>
      </c>
      <c r="D318" s="2" t="s">
        <v>738</v>
      </c>
      <c r="E318" s="3" t="s">
        <v>16</v>
      </c>
      <c r="F318" s="4" t="s">
        <v>17</v>
      </c>
      <c r="G318" s="2" t="s">
        <v>17</v>
      </c>
      <c r="H318" s="5" t="s">
        <v>18</v>
      </c>
      <c r="I318" s="2"/>
      <c r="J318" s="2"/>
      <c r="K318" s="2" t="s">
        <v>19</v>
      </c>
      <c r="L318" s="2"/>
    </row>
    <row r="319" spans="1:12" ht="39" x14ac:dyDescent="0.2">
      <c r="A319" s="2" t="s">
        <v>628</v>
      </c>
      <c r="B319" s="2" t="s">
        <v>734</v>
      </c>
      <c r="C319" s="2" t="s">
        <v>739</v>
      </c>
      <c r="D319" s="2" t="s">
        <v>740</v>
      </c>
      <c r="E319" s="3" t="s">
        <v>16</v>
      </c>
      <c r="F319" s="4" t="s">
        <v>17</v>
      </c>
      <c r="G319" s="2" t="s">
        <v>17</v>
      </c>
      <c r="H319" s="5" t="s">
        <v>18</v>
      </c>
      <c r="I319" s="2"/>
      <c r="J319" s="2"/>
      <c r="K319" s="2" t="s">
        <v>19</v>
      </c>
      <c r="L319" s="2"/>
    </row>
    <row r="320" spans="1:12" ht="39" x14ac:dyDescent="0.2">
      <c r="A320" s="2" t="s">
        <v>628</v>
      </c>
      <c r="B320" s="2" t="s">
        <v>734</v>
      </c>
      <c r="C320" s="2" t="s">
        <v>741</v>
      </c>
      <c r="D320" s="2" t="s">
        <v>742</v>
      </c>
      <c r="E320" s="3" t="s">
        <v>16</v>
      </c>
      <c r="F320" s="4" t="s">
        <v>17</v>
      </c>
      <c r="G320" s="2" t="s">
        <v>17</v>
      </c>
      <c r="H320" s="5" t="s">
        <v>18</v>
      </c>
      <c r="I320" s="2"/>
      <c r="J320" s="2"/>
      <c r="K320" s="2" t="s">
        <v>19</v>
      </c>
      <c r="L320" s="2"/>
    </row>
    <row r="321" spans="1:12" ht="52" x14ac:dyDescent="0.2">
      <c r="A321" s="2" t="s">
        <v>628</v>
      </c>
      <c r="B321" s="2" t="s">
        <v>734</v>
      </c>
      <c r="C321" s="2" t="s">
        <v>743</v>
      </c>
      <c r="D321" s="2" t="s">
        <v>744</v>
      </c>
      <c r="E321" s="3" t="s">
        <v>16</v>
      </c>
      <c r="F321" s="4" t="s">
        <v>17</v>
      </c>
      <c r="G321" s="2" t="s">
        <v>17</v>
      </c>
      <c r="H321" s="5" t="s">
        <v>18</v>
      </c>
      <c r="I321" s="2"/>
      <c r="J321" s="2"/>
      <c r="K321" s="2" t="s">
        <v>19</v>
      </c>
      <c r="L321" s="2"/>
    </row>
    <row r="322" spans="1:12" ht="39" x14ac:dyDescent="0.2">
      <c r="A322" s="2" t="s">
        <v>628</v>
      </c>
      <c r="B322" s="2" t="s">
        <v>734</v>
      </c>
      <c r="C322" s="2" t="s">
        <v>745</v>
      </c>
      <c r="D322" s="2" t="s">
        <v>746</v>
      </c>
      <c r="E322" s="3" t="s">
        <v>16</v>
      </c>
      <c r="F322" s="4" t="s">
        <v>17</v>
      </c>
      <c r="G322" s="2" t="s">
        <v>17</v>
      </c>
      <c r="H322" s="5" t="s">
        <v>18</v>
      </c>
      <c r="I322" s="2"/>
      <c r="J322" s="2"/>
      <c r="K322" s="2" t="s">
        <v>19</v>
      </c>
      <c r="L322" s="2"/>
    </row>
    <row r="323" spans="1:12" ht="39" x14ac:dyDescent="0.2">
      <c r="A323" s="2" t="s">
        <v>628</v>
      </c>
      <c r="B323" s="2" t="s">
        <v>734</v>
      </c>
      <c r="C323" s="2" t="s">
        <v>747</v>
      </c>
      <c r="D323" s="2" t="s">
        <v>748</v>
      </c>
      <c r="E323" s="3" t="s">
        <v>16</v>
      </c>
      <c r="F323" s="4" t="s">
        <v>17</v>
      </c>
      <c r="G323" s="2" t="s">
        <v>17</v>
      </c>
      <c r="H323" s="5" t="s">
        <v>18</v>
      </c>
      <c r="I323" s="2"/>
      <c r="J323" s="2"/>
      <c r="K323" s="2" t="s">
        <v>19</v>
      </c>
      <c r="L323" s="2"/>
    </row>
    <row r="324" spans="1:12" ht="52" x14ac:dyDescent="0.2">
      <c r="A324" s="2" t="s">
        <v>628</v>
      </c>
      <c r="B324" s="2" t="s">
        <v>734</v>
      </c>
      <c r="C324" s="2" t="s">
        <v>749</v>
      </c>
      <c r="D324" s="2" t="s">
        <v>750</v>
      </c>
      <c r="E324" s="3" t="s">
        <v>16</v>
      </c>
      <c r="F324" s="4" t="s">
        <v>17</v>
      </c>
      <c r="G324" s="2" t="s">
        <v>17</v>
      </c>
      <c r="H324" s="5" t="s">
        <v>18</v>
      </c>
      <c r="I324" s="2"/>
      <c r="J324" s="2"/>
      <c r="K324" s="2" t="s">
        <v>19</v>
      </c>
      <c r="L324" s="2"/>
    </row>
    <row r="325" spans="1:12" ht="39" x14ac:dyDescent="0.2">
      <c r="A325" s="2" t="s">
        <v>628</v>
      </c>
      <c r="B325" s="2" t="s">
        <v>734</v>
      </c>
      <c r="C325" s="2" t="s">
        <v>751</v>
      </c>
      <c r="D325" s="2" t="s">
        <v>752</v>
      </c>
      <c r="E325" s="3" t="s">
        <v>16</v>
      </c>
      <c r="F325" s="4" t="s">
        <v>17</v>
      </c>
      <c r="G325" s="2" t="s">
        <v>17</v>
      </c>
      <c r="H325" s="5" t="s">
        <v>18</v>
      </c>
      <c r="I325" s="2"/>
      <c r="J325" s="2"/>
      <c r="K325" s="2" t="s">
        <v>19</v>
      </c>
      <c r="L325" s="2"/>
    </row>
    <row r="326" spans="1:12" ht="39" x14ac:dyDescent="0.2">
      <c r="A326" s="2" t="s">
        <v>628</v>
      </c>
      <c r="B326" s="2" t="s">
        <v>734</v>
      </c>
      <c r="C326" s="2" t="s">
        <v>753</v>
      </c>
      <c r="D326" s="2" t="s">
        <v>754</v>
      </c>
      <c r="E326" s="3" t="s">
        <v>16</v>
      </c>
      <c r="F326" s="4" t="s">
        <v>17</v>
      </c>
      <c r="G326" s="2" t="s">
        <v>17</v>
      </c>
      <c r="H326" s="5" t="s">
        <v>18</v>
      </c>
      <c r="I326" s="2"/>
      <c r="J326" s="2"/>
      <c r="K326" s="2" t="s">
        <v>19</v>
      </c>
      <c r="L326" s="2"/>
    </row>
    <row r="327" spans="1:12" ht="39" x14ac:dyDescent="0.2">
      <c r="A327" s="2" t="s">
        <v>628</v>
      </c>
      <c r="B327" s="2" t="s">
        <v>734</v>
      </c>
      <c r="C327" s="2" t="s">
        <v>755</v>
      </c>
      <c r="D327" s="2" t="s">
        <v>756</v>
      </c>
      <c r="E327" s="3" t="s">
        <v>16</v>
      </c>
      <c r="F327" s="4" t="s">
        <v>17</v>
      </c>
      <c r="G327" s="2" t="s">
        <v>17</v>
      </c>
      <c r="H327" s="5" t="s">
        <v>18</v>
      </c>
      <c r="I327" s="2"/>
      <c r="J327" s="2"/>
      <c r="K327" s="2" t="s">
        <v>19</v>
      </c>
      <c r="L327" s="2"/>
    </row>
    <row r="328" spans="1:12" ht="39" x14ac:dyDescent="0.2">
      <c r="A328" s="2" t="s">
        <v>628</v>
      </c>
      <c r="B328" s="2" t="s">
        <v>734</v>
      </c>
      <c r="C328" s="2" t="s">
        <v>757</v>
      </c>
      <c r="D328" s="2" t="s">
        <v>758</v>
      </c>
      <c r="E328" s="3" t="s">
        <v>16</v>
      </c>
      <c r="F328" s="4" t="s">
        <v>17</v>
      </c>
      <c r="G328" s="2" t="s">
        <v>17</v>
      </c>
      <c r="H328" s="5" t="s">
        <v>18</v>
      </c>
      <c r="I328" s="2"/>
      <c r="J328" s="2"/>
      <c r="K328" s="2" t="s">
        <v>19</v>
      </c>
      <c r="L328" s="2"/>
    </row>
    <row r="329" spans="1:12" ht="52" x14ac:dyDescent="0.2">
      <c r="A329" s="2" t="s">
        <v>628</v>
      </c>
      <c r="B329" s="2" t="s">
        <v>734</v>
      </c>
      <c r="C329" s="2" t="s">
        <v>759</v>
      </c>
      <c r="D329" s="2" t="s">
        <v>760</v>
      </c>
      <c r="E329" s="3" t="s">
        <v>16</v>
      </c>
      <c r="F329" s="4" t="s">
        <v>17</v>
      </c>
      <c r="G329" s="2" t="s">
        <v>17</v>
      </c>
      <c r="H329" s="5" t="s">
        <v>18</v>
      </c>
      <c r="I329" s="2"/>
      <c r="J329" s="2"/>
      <c r="K329" s="2" t="s">
        <v>19</v>
      </c>
      <c r="L329" s="2"/>
    </row>
    <row r="330" spans="1:12" ht="39" x14ac:dyDescent="0.2">
      <c r="A330" s="2" t="s">
        <v>628</v>
      </c>
      <c r="B330" s="2" t="s">
        <v>734</v>
      </c>
      <c r="C330" s="2" t="s">
        <v>761</v>
      </c>
      <c r="D330" s="2" t="s">
        <v>762</v>
      </c>
      <c r="E330" s="3" t="s">
        <v>16</v>
      </c>
      <c r="F330" s="4" t="s">
        <v>17</v>
      </c>
      <c r="G330" s="2" t="s">
        <v>17</v>
      </c>
      <c r="H330" s="5" t="s">
        <v>18</v>
      </c>
      <c r="I330" s="2"/>
      <c r="J330" s="2"/>
      <c r="K330" s="2" t="s">
        <v>19</v>
      </c>
      <c r="L330" s="2"/>
    </row>
    <row r="331" spans="1:12" ht="39" x14ac:dyDescent="0.2">
      <c r="A331" s="2" t="s">
        <v>628</v>
      </c>
      <c r="B331" s="2" t="s">
        <v>734</v>
      </c>
      <c r="C331" s="2" t="s">
        <v>763</v>
      </c>
      <c r="D331" s="2" t="s">
        <v>764</v>
      </c>
      <c r="E331" s="3" t="s">
        <v>16</v>
      </c>
      <c r="F331" s="4" t="s">
        <v>17</v>
      </c>
      <c r="G331" s="2" t="s">
        <v>17</v>
      </c>
      <c r="H331" s="5" t="s">
        <v>18</v>
      </c>
      <c r="I331" s="2"/>
      <c r="J331" s="2"/>
      <c r="K331" s="2" t="s">
        <v>19</v>
      </c>
      <c r="L331" s="2"/>
    </row>
    <row r="332" spans="1:12" ht="52" x14ac:dyDescent="0.2">
      <c r="A332" s="2" t="s">
        <v>628</v>
      </c>
      <c r="B332" s="2" t="s">
        <v>765</v>
      </c>
      <c r="C332" s="2" t="s">
        <v>766</v>
      </c>
      <c r="D332" s="2" t="s">
        <v>767</v>
      </c>
      <c r="E332" s="3" t="s">
        <v>16</v>
      </c>
      <c r="F332" s="4" t="s">
        <v>17</v>
      </c>
      <c r="G332" s="2" t="s">
        <v>17</v>
      </c>
      <c r="H332" s="5" t="s">
        <v>18</v>
      </c>
      <c r="I332" s="2"/>
      <c r="J332" s="2"/>
      <c r="K332" s="2" t="s">
        <v>19</v>
      </c>
      <c r="L332" s="2"/>
    </row>
    <row r="333" spans="1:12" ht="39" x14ac:dyDescent="0.2">
      <c r="A333" s="2" t="s">
        <v>628</v>
      </c>
      <c r="B333" s="2" t="s">
        <v>765</v>
      </c>
      <c r="C333" s="2" t="s">
        <v>768</v>
      </c>
      <c r="D333" s="2" t="s">
        <v>769</v>
      </c>
      <c r="E333" s="3" t="s">
        <v>16</v>
      </c>
      <c r="F333" s="4" t="s">
        <v>17</v>
      </c>
      <c r="G333" s="2" t="s">
        <v>17</v>
      </c>
      <c r="H333" s="5" t="s">
        <v>18</v>
      </c>
      <c r="I333" s="2"/>
      <c r="J333" s="2"/>
      <c r="K333" s="2" t="s">
        <v>19</v>
      </c>
      <c r="L333" s="2"/>
    </row>
    <row r="334" spans="1:12" ht="39" x14ac:dyDescent="0.2">
      <c r="A334" s="2" t="s">
        <v>628</v>
      </c>
      <c r="B334" s="2" t="s">
        <v>765</v>
      </c>
      <c r="C334" s="2" t="s">
        <v>770</v>
      </c>
      <c r="D334" s="2" t="s">
        <v>771</v>
      </c>
      <c r="E334" s="3" t="s">
        <v>16</v>
      </c>
      <c r="F334" s="4" t="s">
        <v>17</v>
      </c>
      <c r="G334" s="2" t="s">
        <v>17</v>
      </c>
      <c r="H334" s="5" t="s">
        <v>18</v>
      </c>
      <c r="I334" s="2"/>
      <c r="J334" s="2"/>
      <c r="K334" s="2" t="s">
        <v>19</v>
      </c>
      <c r="L334" s="2"/>
    </row>
    <row r="335" spans="1:12" ht="52" x14ac:dyDescent="0.2">
      <c r="A335" s="2" t="s">
        <v>628</v>
      </c>
      <c r="B335" s="2" t="s">
        <v>765</v>
      </c>
      <c r="C335" s="2" t="s">
        <v>772</v>
      </c>
      <c r="D335" s="2" t="s">
        <v>773</v>
      </c>
      <c r="E335" s="3" t="s">
        <v>16</v>
      </c>
      <c r="F335" s="4" t="s">
        <v>17</v>
      </c>
      <c r="G335" s="2" t="s">
        <v>17</v>
      </c>
      <c r="H335" s="5" t="s">
        <v>18</v>
      </c>
      <c r="I335" s="2"/>
      <c r="J335" s="2"/>
      <c r="K335" s="2" t="s">
        <v>19</v>
      </c>
      <c r="L335" s="2"/>
    </row>
    <row r="336" spans="1:12" ht="65" x14ac:dyDescent="0.2">
      <c r="A336" s="2" t="s">
        <v>628</v>
      </c>
      <c r="B336" s="2" t="s">
        <v>765</v>
      </c>
      <c r="C336" s="2" t="s">
        <v>774</v>
      </c>
      <c r="D336" s="2" t="s">
        <v>775</v>
      </c>
      <c r="E336" s="3" t="s">
        <v>16</v>
      </c>
      <c r="F336" s="4" t="s">
        <v>17</v>
      </c>
      <c r="G336" s="2" t="s">
        <v>17</v>
      </c>
      <c r="H336" s="5" t="s">
        <v>18</v>
      </c>
      <c r="I336" s="2"/>
      <c r="J336" s="2"/>
      <c r="K336" s="2" t="s">
        <v>19</v>
      </c>
      <c r="L336" s="2"/>
    </row>
    <row r="337" spans="1:12" ht="52" x14ac:dyDescent="0.2">
      <c r="A337" s="2" t="s">
        <v>628</v>
      </c>
      <c r="B337" s="2" t="s">
        <v>765</v>
      </c>
      <c r="C337" s="2" t="s">
        <v>776</v>
      </c>
      <c r="D337" s="2" t="s">
        <v>777</v>
      </c>
      <c r="E337" s="3" t="s">
        <v>16</v>
      </c>
      <c r="F337" s="4" t="s">
        <v>17</v>
      </c>
      <c r="G337" s="2" t="s">
        <v>17</v>
      </c>
      <c r="H337" s="5" t="s">
        <v>18</v>
      </c>
      <c r="I337" s="2"/>
      <c r="J337" s="2"/>
      <c r="K337" s="2" t="s">
        <v>19</v>
      </c>
      <c r="L337" s="2"/>
    </row>
    <row r="338" spans="1:12" ht="52" x14ac:dyDescent="0.2">
      <c r="A338" s="2" t="s">
        <v>628</v>
      </c>
      <c r="B338" s="2" t="s">
        <v>778</v>
      </c>
      <c r="C338" s="2" t="s">
        <v>779</v>
      </c>
      <c r="D338" s="2" t="s">
        <v>780</v>
      </c>
      <c r="E338" s="3" t="s">
        <v>16</v>
      </c>
      <c r="F338" s="4" t="s">
        <v>17</v>
      </c>
      <c r="G338" s="2" t="s">
        <v>17</v>
      </c>
      <c r="H338" s="5" t="s">
        <v>18</v>
      </c>
      <c r="I338" s="2"/>
      <c r="J338" s="2"/>
      <c r="K338" s="2" t="s">
        <v>19</v>
      </c>
      <c r="L338" s="2"/>
    </row>
    <row r="339" spans="1:12" ht="65" x14ac:dyDescent="0.2">
      <c r="A339" s="2" t="s">
        <v>628</v>
      </c>
      <c r="B339" s="2" t="s">
        <v>778</v>
      </c>
      <c r="C339" s="2" t="s">
        <v>781</v>
      </c>
      <c r="D339" s="2" t="s">
        <v>782</v>
      </c>
      <c r="E339" s="3" t="s">
        <v>16</v>
      </c>
      <c r="F339" s="4" t="s">
        <v>17</v>
      </c>
      <c r="G339" s="2" t="s">
        <v>17</v>
      </c>
      <c r="H339" s="5" t="s">
        <v>18</v>
      </c>
      <c r="I339" s="2"/>
      <c r="J339" s="2"/>
      <c r="K339" s="2" t="s">
        <v>19</v>
      </c>
      <c r="L339" s="2"/>
    </row>
    <row r="340" spans="1:12" ht="52" x14ac:dyDescent="0.2">
      <c r="A340" s="2" t="s">
        <v>628</v>
      </c>
      <c r="B340" s="2" t="s">
        <v>778</v>
      </c>
      <c r="C340" s="2" t="s">
        <v>783</v>
      </c>
      <c r="D340" s="2" t="s">
        <v>784</v>
      </c>
      <c r="E340" s="3" t="s">
        <v>16</v>
      </c>
      <c r="F340" s="4" t="s">
        <v>17</v>
      </c>
      <c r="G340" s="2" t="s">
        <v>17</v>
      </c>
      <c r="H340" s="5" t="s">
        <v>18</v>
      </c>
      <c r="I340" s="2"/>
      <c r="J340" s="2"/>
      <c r="K340" s="2" t="s">
        <v>19</v>
      </c>
      <c r="L340" s="2"/>
    </row>
    <row r="341" spans="1:12" ht="39" x14ac:dyDescent="0.2">
      <c r="A341" s="2" t="s">
        <v>628</v>
      </c>
      <c r="B341" s="2" t="s">
        <v>778</v>
      </c>
      <c r="C341" s="2" t="s">
        <v>785</v>
      </c>
      <c r="D341" s="2" t="s">
        <v>786</v>
      </c>
      <c r="E341" s="3" t="s">
        <v>16</v>
      </c>
      <c r="F341" s="4" t="s">
        <v>17</v>
      </c>
      <c r="G341" s="2" t="s">
        <v>17</v>
      </c>
      <c r="H341" s="5" t="s">
        <v>18</v>
      </c>
      <c r="I341" s="2"/>
      <c r="J341" s="2"/>
      <c r="K341" s="2" t="s">
        <v>19</v>
      </c>
      <c r="L341" s="2"/>
    </row>
    <row r="342" spans="1:12" ht="52" x14ac:dyDescent="0.2">
      <c r="A342" s="2" t="s">
        <v>628</v>
      </c>
      <c r="B342" s="2" t="s">
        <v>778</v>
      </c>
      <c r="C342" s="2" t="s">
        <v>787</v>
      </c>
      <c r="D342" s="2" t="s">
        <v>788</v>
      </c>
      <c r="E342" s="3" t="s">
        <v>16</v>
      </c>
      <c r="F342" s="4" t="s">
        <v>17</v>
      </c>
      <c r="G342" s="2" t="s">
        <v>17</v>
      </c>
      <c r="H342" s="5" t="s">
        <v>18</v>
      </c>
      <c r="I342" s="2"/>
      <c r="J342" s="2"/>
      <c r="K342" s="2" t="s">
        <v>19</v>
      </c>
      <c r="L342" s="2"/>
    </row>
    <row r="343" spans="1:12" ht="52" x14ac:dyDescent="0.2">
      <c r="A343" s="2" t="s">
        <v>628</v>
      </c>
      <c r="B343" s="2" t="s">
        <v>789</v>
      </c>
      <c r="C343" s="2" t="s">
        <v>790</v>
      </c>
      <c r="D343" s="2" t="s">
        <v>791</v>
      </c>
      <c r="E343" s="3" t="s">
        <v>16</v>
      </c>
      <c r="F343" s="4" t="s">
        <v>17</v>
      </c>
      <c r="G343" s="2" t="s">
        <v>17</v>
      </c>
      <c r="H343" s="5" t="s">
        <v>18</v>
      </c>
      <c r="I343" s="2"/>
      <c r="J343" s="2"/>
      <c r="K343" s="2" t="s">
        <v>19</v>
      </c>
      <c r="L343" s="2"/>
    </row>
    <row r="344" spans="1:12" ht="39" x14ac:dyDescent="0.2">
      <c r="A344" s="2" t="s">
        <v>628</v>
      </c>
      <c r="B344" s="2" t="s">
        <v>789</v>
      </c>
      <c r="C344" s="2" t="s">
        <v>792</v>
      </c>
      <c r="D344" s="2" t="s">
        <v>793</v>
      </c>
      <c r="E344" s="3" t="s">
        <v>16</v>
      </c>
      <c r="F344" s="4" t="s">
        <v>17</v>
      </c>
      <c r="G344" s="2" t="s">
        <v>17</v>
      </c>
      <c r="H344" s="5" t="s">
        <v>18</v>
      </c>
      <c r="I344" s="2"/>
      <c r="J344" s="2"/>
      <c r="K344" s="2" t="s">
        <v>19</v>
      </c>
      <c r="L344" s="2"/>
    </row>
    <row r="345" spans="1:12" ht="39" x14ac:dyDescent="0.2">
      <c r="A345" s="2" t="s">
        <v>628</v>
      </c>
      <c r="B345" s="2" t="s">
        <v>789</v>
      </c>
      <c r="C345" s="2" t="s">
        <v>794</v>
      </c>
      <c r="D345" s="2" t="s">
        <v>795</v>
      </c>
      <c r="E345" s="3" t="s">
        <v>16</v>
      </c>
      <c r="F345" s="4" t="s">
        <v>17</v>
      </c>
      <c r="G345" s="2" t="s">
        <v>17</v>
      </c>
      <c r="H345" s="5" t="s">
        <v>18</v>
      </c>
      <c r="I345" s="2"/>
      <c r="J345" s="2"/>
      <c r="K345" s="2" t="s">
        <v>19</v>
      </c>
      <c r="L345" s="2"/>
    </row>
    <row r="346" spans="1:12" ht="52" x14ac:dyDescent="0.2">
      <c r="A346" s="2" t="s">
        <v>628</v>
      </c>
      <c r="B346" s="2" t="s">
        <v>789</v>
      </c>
      <c r="C346" s="2" t="s">
        <v>796</v>
      </c>
      <c r="D346" s="2" t="s">
        <v>797</v>
      </c>
      <c r="E346" s="3" t="s">
        <v>16</v>
      </c>
      <c r="F346" s="4" t="s">
        <v>17</v>
      </c>
      <c r="G346" s="2" t="s">
        <v>17</v>
      </c>
      <c r="H346" s="5" t="s">
        <v>18</v>
      </c>
      <c r="I346" s="2"/>
      <c r="J346" s="2"/>
      <c r="K346" s="2" t="s">
        <v>19</v>
      </c>
      <c r="L346" s="2"/>
    </row>
    <row r="347" spans="1:12" ht="52" x14ac:dyDescent="0.2">
      <c r="A347" s="2" t="s">
        <v>628</v>
      </c>
      <c r="B347" s="2" t="s">
        <v>789</v>
      </c>
      <c r="C347" s="2" t="s">
        <v>798</v>
      </c>
      <c r="D347" s="2" t="s">
        <v>799</v>
      </c>
      <c r="E347" s="3" t="s">
        <v>16</v>
      </c>
      <c r="F347" s="4" t="s">
        <v>17</v>
      </c>
      <c r="G347" s="2" t="s">
        <v>17</v>
      </c>
      <c r="H347" s="5" t="s">
        <v>18</v>
      </c>
      <c r="I347" s="2"/>
      <c r="J347" s="2"/>
      <c r="K347" s="2" t="s">
        <v>19</v>
      </c>
      <c r="L347" s="2"/>
    </row>
    <row r="348" spans="1:12" ht="65" x14ac:dyDescent="0.2">
      <c r="A348" s="2" t="s">
        <v>628</v>
      </c>
      <c r="B348" s="2" t="s">
        <v>800</v>
      </c>
      <c r="C348" s="2" t="s">
        <v>801</v>
      </c>
      <c r="D348" s="2" t="s">
        <v>802</v>
      </c>
      <c r="E348" s="3" t="s">
        <v>16</v>
      </c>
      <c r="F348" s="4" t="s">
        <v>17</v>
      </c>
      <c r="G348" s="2" t="s">
        <v>17</v>
      </c>
      <c r="H348" s="5" t="s">
        <v>18</v>
      </c>
      <c r="I348" s="2"/>
      <c r="J348" s="2"/>
      <c r="K348" s="2" t="s">
        <v>19</v>
      </c>
      <c r="L348" s="2"/>
    </row>
    <row r="349" spans="1:12" ht="78" x14ac:dyDescent="0.2">
      <c r="A349" s="2" t="s">
        <v>628</v>
      </c>
      <c r="B349" s="2" t="s">
        <v>800</v>
      </c>
      <c r="C349" s="2" t="s">
        <v>803</v>
      </c>
      <c r="D349" s="2" t="s">
        <v>804</v>
      </c>
      <c r="E349" s="3" t="s">
        <v>16</v>
      </c>
      <c r="F349" s="4" t="s">
        <v>17</v>
      </c>
      <c r="G349" s="2" t="s">
        <v>17</v>
      </c>
      <c r="H349" s="5" t="s">
        <v>18</v>
      </c>
      <c r="I349" s="2"/>
      <c r="J349" s="2"/>
      <c r="K349" s="2" t="s">
        <v>19</v>
      </c>
      <c r="L349" s="2"/>
    </row>
    <row r="350" spans="1:12" ht="52" x14ac:dyDescent="0.2">
      <c r="A350" s="2" t="s">
        <v>628</v>
      </c>
      <c r="B350" s="2" t="s">
        <v>800</v>
      </c>
      <c r="C350" s="2" t="s">
        <v>805</v>
      </c>
      <c r="D350" s="2" t="s">
        <v>806</v>
      </c>
      <c r="E350" s="3" t="s">
        <v>16</v>
      </c>
      <c r="F350" s="4" t="s">
        <v>17</v>
      </c>
      <c r="G350" s="2" t="s">
        <v>17</v>
      </c>
      <c r="H350" s="5" t="s">
        <v>18</v>
      </c>
      <c r="I350" s="2"/>
      <c r="J350" s="2"/>
      <c r="K350" s="2" t="s">
        <v>19</v>
      </c>
      <c r="L350" s="2"/>
    </row>
    <row r="351" spans="1:12" ht="39" x14ac:dyDescent="0.2">
      <c r="A351" s="2" t="s">
        <v>628</v>
      </c>
      <c r="B351" s="2" t="s">
        <v>800</v>
      </c>
      <c r="C351" s="2" t="s">
        <v>807</v>
      </c>
      <c r="D351" s="2" t="s">
        <v>808</v>
      </c>
      <c r="E351" s="3" t="s">
        <v>16</v>
      </c>
      <c r="F351" s="4" t="s">
        <v>17</v>
      </c>
      <c r="G351" s="2" t="s">
        <v>17</v>
      </c>
      <c r="H351" s="5" t="s">
        <v>18</v>
      </c>
      <c r="I351" s="2"/>
      <c r="J351" s="2"/>
      <c r="K351" s="2" t="s">
        <v>19</v>
      </c>
      <c r="L351" s="2"/>
    </row>
    <row r="352" spans="1:12" ht="52" x14ac:dyDescent="0.2">
      <c r="A352" s="2" t="s">
        <v>628</v>
      </c>
      <c r="B352" s="2" t="s">
        <v>800</v>
      </c>
      <c r="C352" s="2" t="s">
        <v>809</v>
      </c>
      <c r="D352" s="2" t="s">
        <v>810</v>
      </c>
      <c r="E352" s="3" t="s">
        <v>16</v>
      </c>
      <c r="F352" s="4" t="s">
        <v>17</v>
      </c>
      <c r="G352" s="2" t="s">
        <v>17</v>
      </c>
      <c r="H352" s="5" t="s">
        <v>18</v>
      </c>
      <c r="I352" s="2"/>
      <c r="J352" s="2"/>
      <c r="K352" s="2" t="s">
        <v>19</v>
      </c>
      <c r="L352" s="2"/>
    </row>
    <row r="353" spans="1:12" ht="52" x14ac:dyDescent="0.2">
      <c r="A353" s="2" t="s">
        <v>628</v>
      </c>
      <c r="B353" s="2" t="s">
        <v>800</v>
      </c>
      <c r="C353" s="2" t="s">
        <v>811</v>
      </c>
      <c r="D353" s="2" t="s">
        <v>812</v>
      </c>
      <c r="E353" s="3" t="s">
        <v>16</v>
      </c>
      <c r="F353" s="4" t="s">
        <v>17</v>
      </c>
      <c r="G353" s="2" t="s">
        <v>17</v>
      </c>
      <c r="H353" s="5" t="s">
        <v>18</v>
      </c>
      <c r="I353" s="2"/>
      <c r="J353" s="2"/>
      <c r="K353" s="2" t="s">
        <v>19</v>
      </c>
      <c r="L353" s="2"/>
    </row>
    <row r="354" spans="1:12" ht="52" x14ac:dyDescent="0.2">
      <c r="A354" s="2" t="s">
        <v>628</v>
      </c>
      <c r="B354" s="2" t="s">
        <v>800</v>
      </c>
      <c r="C354" s="2" t="s">
        <v>813</v>
      </c>
      <c r="D354" s="2" t="s">
        <v>814</v>
      </c>
      <c r="E354" s="3" t="s">
        <v>16</v>
      </c>
      <c r="F354" s="4" t="s">
        <v>17</v>
      </c>
      <c r="G354" s="2" t="s">
        <v>17</v>
      </c>
      <c r="H354" s="5" t="s">
        <v>18</v>
      </c>
      <c r="I354" s="2"/>
      <c r="J354" s="2"/>
      <c r="K354" s="2" t="s">
        <v>19</v>
      </c>
      <c r="L354" s="2"/>
    </row>
    <row r="355" spans="1:12" ht="52" x14ac:dyDescent="0.2">
      <c r="A355" s="2" t="s">
        <v>628</v>
      </c>
      <c r="B355" s="2" t="s">
        <v>800</v>
      </c>
      <c r="C355" s="2" t="s">
        <v>815</v>
      </c>
      <c r="D355" s="2" t="s">
        <v>816</v>
      </c>
      <c r="E355" s="3" t="s">
        <v>16</v>
      </c>
      <c r="F355" s="4" t="s">
        <v>17</v>
      </c>
      <c r="G355" s="2" t="s">
        <v>17</v>
      </c>
      <c r="H355" s="5" t="s">
        <v>18</v>
      </c>
      <c r="I355" s="2"/>
      <c r="J355" s="2"/>
      <c r="K355" s="2" t="s">
        <v>19</v>
      </c>
      <c r="L355" s="2"/>
    </row>
    <row r="356" spans="1:12" ht="65" x14ac:dyDescent="0.2">
      <c r="A356" s="2" t="s">
        <v>628</v>
      </c>
      <c r="B356" s="2" t="s">
        <v>817</v>
      </c>
      <c r="C356" s="2" t="s">
        <v>818</v>
      </c>
      <c r="D356" s="2" t="s">
        <v>819</v>
      </c>
      <c r="E356" s="3" t="s">
        <v>16</v>
      </c>
      <c r="F356" s="4" t="s">
        <v>17</v>
      </c>
      <c r="G356" s="2" t="s">
        <v>17</v>
      </c>
      <c r="H356" s="5" t="s">
        <v>18</v>
      </c>
      <c r="I356" s="2"/>
      <c r="J356" s="2"/>
      <c r="K356" s="2" t="s">
        <v>19</v>
      </c>
      <c r="L356" s="2"/>
    </row>
    <row r="357" spans="1:12" ht="39" x14ac:dyDescent="0.2">
      <c r="A357" s="2" t="s">
        <v>628</v>
      </c>
      <c r="B357" s="2" t="s">
        <v>817</v>
      </c>
      <c r="C357" s="2" t="s">
        <v>820</v>
      </c>
      <c r="D357" s="2" t="s">
        <v>821</v>
      </c>
      <c r="E357" s="3" t="s">
        <v>16</v>
      </c>
      <c r="F357" s="4" t="s">
        <v>17</v>
      </c>
      <c r="G357" s="2" t="s">
        <v>17</v>
      </c>
      <c r="H357" s="5" t="s">
        <v>18</v>
      </c>
      <c r="I357" s="2"/>
      <c r="J357" s="2"/>
      <c r="K357" s="2" t="s">
        <v>19</v>
      </c>
      <c r="L357" s="2"/>
    </row>
    <row r="358" spans="1:12" ht="39" x14ac:dyDescent="0.2">
      <c r="A358" s="2" t="s">
        <v>628</v>
      </c>
      <c r="B358" s="2" t="s">
        <v>817</v>
      </c>
      <c r="C358" s="2" t="s">
        <v>822</v>
      </c>
      <c r="D358" s="2" t="s">
        <v>823</v>
      </c>
      <c r="E358" s="3" t="s">
        <v>16</v>
      </c>
      <c r="F358" s="4" t="s">
        <v>17</v>
      </c>
      <c r="G358" s="2" t="s">
        <v>17</v>
      </c>
      <c r="H358" s="5" t="s">
        <v>18</v>
      </c>
      <c r="I358" s="2"/>
      <c r="J358" s="2"/>
      <c r="K358" s="2" t="s">
        <v>19</v>
      </c>
      <c r="L358" s="2"/>
    </row>
    <row r="359" spans="1:12" ht="39" x14ac:dyDescent="0.2">
      <c r="A359" s="2" t="s">
        <v>628</v>
      </c>
      <c r="B359" s="2" t="s">
        <v>817</v>
      </c>
      <c r="C359" s="2" t="s">
        <v>824</v>
      </c>
      <c r="D359" s="2" t="s">
        <v>825</v>
      </c>
      <c r="E359" s="3" t="s">
        <v>16</v>
      </c>
      <c r="F359" s="4" t="s">
        <v>17</v>
      </c>
      <c r="G359" s="2" t="s">
        <v>17</v>
      </c>
      <c r="H359" s="5" t="s">
        <v>18</v>
      </c>
      <c r="I359" s="2"/>
      <c r="J359" s="2"/>
      <c r="K359" s="2" t="s">
        <v>19</v>
      </c>
      <c r="L359" s="2"/>
    </row>
    <row r="360" spans="1:12" ht="52" x14ac:dyDescent="0.2">
      <c r="A360" s="2" t="s">
        <v>628</v>
      </c>
      <c r="B360" s="2" t="s">
        <v>817</v>
      </c>
      <c r="C360" s="2" t="s">
        <v>826</v>
      </c>
      <c r="D360" s="2" t="s">
        <v>827</v>
      </c>
      <c r="E360" s="3" t="s">
        <v>16</v>
      </c>
      <c r="F360" s="4" t="s">
        <v>17</v>
      </c>
      <c r="G360" s="2" t="s">
        <v>17</v>
      </c>
      <c r="H360" s="5" t="s">
        <v>18</v>
      </c>
      <c r="I360" s="2"/>
      <c r="J360" s="2"/>
      <c r="K360" s="2" t="s">
        <v>19</v>
      </c>
      <c r="L360" s="2"/>
    </row>
    <row r="361" spans="1:12" ht="52" x14ac:dyDescent="0.2">
      <c r="A361" s="2" t="s">
        <v>628</v>
      </c>
      <c r="B361" s="2" t="s">
        <v>817</v>
      </c>
      <c r="C361" s="2" t="s">
        <v>828</v>
      </c>
      <c r="D361" s="2" t="s">
        <v>829</v>
      </c>
      <c r="E361" s="3" t="s">
        <v>16</v>
      </c>
      <c r="F361" s="4" t="s">
        <v>17</v>
      </c>
      <c r="G361" s="2" t="s">
        <v>17</v>
      </c>
      <c r="H361" s="5" t="s">
        <v>18</v>
      </c>
      <c r="I361" s="2"/>
      <c r="J361" s="2"/>
      <c r="K361" s="2" t="s">
        <v>19</v>
      </c>
      <c r="L361" s="2"/>
    </row>
    <row r="362" spans="1:12" ht="39" x14ac:dyDescent="0.2">
      <c r="A362" s="2" t="s">
        <v>628</v>
      </c>
      <c r="B362" s="2" t="s">
        <v>830</v>
      </c>
      <c r="C362" s="2" t="s">
        <v>831</v>
      </c>
      <c r="D362" s="2" t="s">
        <v>832</v>
      </c>
      <c r="E362" s="3" t="s">
        <v>16</v>
      </c>
      <c r="F362" s="4" t="s">
        <v>17</v>
      </c>
      <c r="G362" s="2" t="s">
        <v>17</v>
      </c>
      <c r="H362" s="5" t="s">
        <v>18</v>
      </c>
      <c r="I362" s="2"/>
      <c r="J362" s="2"/>
      <c r="K362" s="2" t="s">
        <v>19</v>
      </c>
      <c r="L362" s="2"/>
    </row>
    <row r="363" spans="1:12" ht="65" x14ac:dyDescent="0.2">
      <c r="A363" s="2" t="s">
        <v>628</v>
      </c>
      <c r="B363" s="2" t="s">
        <v>830</v>
      </c>
      <c r="C363" s="2" t="s">
        <v>833</v>
      </c>
      <c r="D363" s="2" t="s">
        <v>834</v>
      </c>
      <c r="E363" s="3" t="s">
        <v>16</v>
      </c>
      <c r="F363" s="4" t="s">
        <v>17</v>
      </c>
      <c r="G363" s="2" t="s">
        <v>17</v>
      </c>
      <c r="H363" s="5" t="s">
        <v>18</v>
      </c>
      <c r="I363" s="2"/>
      <c r="J363" s="2"/>
      <c r="K363" s="2" t="s">
        <v>19</v>
      </c>
      <c r="L363" s="2"/>
    </row>
    <row r="364" spans="1:12" ht="39" x14ac:dyDescent="0.2">
      <c r="A364" s="2" t="s">
        <v>628</v>
      </c>
      <c r="B364" s="2" t="s">
        <v>830</v>
      </c>
      <c r="C364" s="2" t="s">
        <v>835</v>
      </c>
      <c r="D364" s="2" t="s">
        <v>836</v>
      </c>
      <c r="E364" s="3" t="s">
        <v>16</v>
      </c>
      <c r="F364" s="4" t="s">
        <v>17</v>
      </c>
      <c r="G364" s="2" t="s">
        <v>17</v>
      </c>
      <c r="H364" s="5" t="s">
        <v>18</v>
      </c>
      <c r="I364" s="2"/>
      <c r="J364" s="2"/>
      <c r="K364" s="2" t="s">
        <v>19</v>
      </c>
      <c r="L364" s="2"/>
    </row>
    <row r="365" spans="1:12" ht="65" x14ac:dyDescent="0.2">
      <c r="A365" s="2" t="s">
        <v>628</v>
      </c>
      <c r="B365" s="2" t="s">
        <v>830</v>
      </c>
      <c r="C365" s="2" t="s">
        <v>837</v>
      </c>
      <c r="D365" s="2" t="s">
        <v>838</v>
      </c>
      <c r="E365" s="3" t="s">
        <v>16</v>
      </c>
      <c r="F365" s="4" t="s">
        <v>17</v>
      </c>
      <c r="G365" s="2" t="s">
        <v>17</v>
      </c>
      <c r="H365" s="5" t="s">
        <v>18</v>
      </c>
      <c r="I365" s="2"/>
      <c r="J365" s="2"/>
      <c r="K365" s="2" t="s">
        <v>19</v>
      </c>
      <c r="L365" s="2"/>
    </row>
    <row r="366" spans="1:12" ht="52" x14ac:dyDescent="0.2">
      <c r="A366" s="2" t="s">
        <v>628</v>
      </c>
      <c r="B366" s="2" t="s">
        <v>839</v>
      </c>
      <c r="C366" s="2" t="s">
        <v>840</v>
      </c>
      <c r="D366" s="2" t="s">
        <v>841</v>
      </c>
      <c r="E366" s="3" t="s">
        <v>16</v>
      </c>
      <c r="F366" s="4" t="s">
        <v>17</v>
      </c>
      <c r="G366" s="2" t="s">
        <v>17</v>
      </c>
      <c r="H366" s="5" t="s">
        <v>18</v>
      </c>
      <c r="I366" s="2"/>
      <c r="J366" s="2"/>
      <c r="K366" s="2" t="s">
        <v>19</v>
      </c>
      <c r="L366" s="2"/>
    </row>
    <row r="367" spans="1:12" ht="52" x14ac:dyDescent="0.2">
      <c r="A367" s="2" t="s">
        <v>628</v>
      </c>
      <c r="B367" s="2" t="s">
        <v>839</v>
      </c>
      <c r="C367" s="2" t="s">
        <v>842</v>
      </c>
      <c r="D367" s="2" t="s">
        <v>843</v>
      </c>
      <c r="E367" s="3" t="s">
        <v>16</v>
      </c>
      <c r="F367" s="4" t="s">
        <v>17</v>
      </c>
      <c r="G367" s="2" t="s">
        <v>17</v>
      </c>
      <c r="H367" s="5" t="s">
        <v>18</v>
      </c>
      <c r="I367" s="2"/>
      <c r="J367" s="2"/>
      <c r="K367" s="2" t="s">
        <v>19</v>
      </c>
      <c r="L367" s="2"/>
    </row>
    <row r="368" spans="1:12" ht="39" x14ac:dyDescent="0.2">
      <c r="A368" s="2" t="s">
        <v>628</v>
      </c>
      <c r="B368" s="2" t="s">
        <v>839</v>
      </c>
      <c r="C368" s="2" t="s">
        <v>844</v>
      </c>
      <c r="D368" s="2" t="s">
        <v>845</v>
      </c>
      <c r="E368" s="3" t="s">
        <v>16</v>
      </c>
      <c r="F368" s="4" t="s">
        <v>17</v>
      </c>
      <c r="G368" s="2" t="s">
        <v>17</v>
      </c>
      <c r="H368" s="5" t="s">
        <v>18</v>
      </c>
      <c r="I368" s="2"/>
      <c r="J368" s="2"/>
      <c r="K368" s="2" t="s">
        <v>19</v>
      </c>
      <c r="L368" s="2"/>
    </row>
    <row r="369" spans="1:12" ht="78" x14ac:dyDescent="0.2">
      <c r="A369" s="2" t="s">
        <v>628</v>
      </c>
      <c r="B369" s="2" t="s">
        <v>839</v>
      </c>
      <c r="C369" s="2" t="s">
        <v>846</v>
      </c>
      <c r="D369" s="2" t="s">
        <v>847</v>
      </c>
      <c r="E369" s="3" t="s">
        <v>16</v>
      </c>
      <c r="F369" s="4" t="s">
        <v>17</v>
      </c>
      <c r="G369" s="2" t="s">
        <v>17</v>
      </c>
      <c r="H369" s="5" t="s">
        <v>18</v>
      </c>
      <c r="I369" s="2"/>
      <c r="J369" s="2"/>
      <c r="K369" s="2" t="s">
        <v>19</v>
      </c>
      <c r="L369" s="2"/>
    </row>
    <row r="370" spans="1:12" ht="39" x14ac:dyDescent="0.2">
      <c r="A370" s="2" t="s">
        <v>628</v>
      </c>
      <c r="B370" s="2" t="s">
        <v>839</v>
      </c>
      <c r="C370" s="2" t="s">
        <v>848</v>
      </c>
      <c r="D370" s="2" t="s">
        <v>849</v>
      </c>
      <c r="E370" s="3" t="s">
        <v>16</v>
      </c>
      <c r="F370" s="4" t="s">
        <v>17</v>
      </c>
      <c r="G370" s="2" t="s">
        <v>17</v>
      </c>
      <c r="H370" s="5" t="s">
        <v>18</v>
      </c>
      <c r="I370" s="2"/>
      <c r="J370" s="2"/>
      <c r="K370" s="2" t="s">
        <v>19</v>
      </c>
      <c r="L370" s="2"/>
    </row>
    <row r="371" spans="1:12" ht="39" x14ac:dyDescent="0.2">
      <c r="A371" s="2" t="s">
        <v>628</v>
      </c>
      <c r="B371" s="2" t="s">
        <v>839</v>
      </c>
      <c r="C371" s="2" t="s">
        <v>850</v>
      </c>
      <c r="D371" s="2" t="s">
        <v>851</v>
      </c>
      <c r="E371" s="3" t="s">
        <v>16</v>
      </c>
      <c r="F371" s="4" t="s">
        <v>17</v>
      </c>
      <c r="G371" s="2" t="s">
        <v>17</v>
      </c>
      <c r="H371" s="5" t="s">
        <v>18</v>
      </c>
      <c r="I371" s="2"/>
      <c r="J371" s="2"/>
      <c r="K371" s="2" t="s">
        <v>19</v>
      </c>
      <c r="L371" s="2"/>
    </row>
    <row r="372" spans="1:12" ht="39" x14ac:dyDescent="0.2">
      <c r="A372" s="2" t="s">
        <v>852</v>
      </c>
      <c r="B372" s="2" t="s">
        <v>853</v>
      </c>
      <c r="C372" s="2" t="s">
        <v>854</v>
      </c>
      <c r="D372" s="2" t="s">
        <v>855</v>
      </c>
      <c r="E372" s="3" t="s">
        <v>16</v>
      </c>
      <c r="F372" s="4" t="s">
        <v>17</v>
      </c>
      <c r="G372" s="2" t="s">
        <v>17</v>
      </c>
      <c r="H372" s="5" t="s">
        <v>18</v>
      </c>
      <c r="I372" s="2"/>
      <c r="J372" s="2"/>
      <c r="K372" s="2" t="s">
        <v>19</v>
      </c>
      <c r="L372" s="2"/>
    </row>
    <row r="373" spans="1:12" ht="39" x14ac:dyDescent="0.2">
      <c r="A373" s="2" t="s">
        <v>852</v>
      </c>
      <c r="B373" s="2" t="s">
        <v>853</v>
      </c>
      <c r="C373" s="2" t="s">
        <v>856</v>
      </c>
      <c r="D373" s="2" t="s">
        <v>857</v>
      </c>
      <c r="E373" s="3" t="s">
        <v>16</v>
      </c>
      <c r="F373" s="4" t="s">
        <v>17</v>
      </c>
      <c r="G373" s="2" t="s">
        <v>17</v>
      </c>
      <c r="H373" s="5" t="s">
        <v>18</v>
      </c>
      <c r="I373" s="2"/>
      <c r="J373" s="2"/>
      <c r="K373" s="2" t="s">
        <v>19</v>
      </c>
      <c r="L373" s="2"/>
    </row>
    <row r="374" spans="1:12" ht="78" x14ac:dyDescent="0.2">
      <c r="A374" s="2" t="s">
        <v>852</v>
      </c>
      <c r="B374" s="2" t="s">
        <v>853</v>
      </c>
      <c r="C374" s="2" t="s">
        <v>858</v>
      </c>
      <c r="D374" s="2" t="s">
        <v>859</v>
      </c>
      <c r="E374" s="3" t="s">
        <v>16</v>
      </c>
      <c r="F374" s="4" t="s">
        <v>17</v>
      </c>
      <c r="G374" s="2" t="s">
        <v>17</v>
      </c>
      <c r="H374" s="5" t="s">
        <v>18</v>
      </c>
      <c r="I374" s="2"/>
      <c r="J374" s="2"/>
      <c r="K374" s="2" t="s">
        <v>19</v>
      </c>
      <c r="L374" s="2"/>
    </row>
    <row r="375" spans="1:12" ht="39" x14ac:dyDescent="0.2">
      <c r="A375" s="2" t="s">
        <v>852</v>
      </c>
      <c r="B375" s="2" t="s">
        <v>853</v>
      </c>
      <c r="C375" s="2" t="s">
        <v>860</v>
      </c>
      <c r="D375" s="2" t="s">
        <v>861</v>
      </c>
      <c r="E375" s="3" t="s">
        <v>16</v>
      </c>
      <c r="F375" s="4" t="s">
        <v>17</v>
      </c>
      <c r="G375" s="2" t="s">
        <v>17</v>
      </c>
      <c r="H375" s="5" t="s">
        <v>18</v>
      </c>
      <c r="I375" s="2"/>
      <c r="J375" s="2"/>
      <c r="K375" s="2" t="s">
        <v>19</v>
      </c>
      <c r="L375" s="2"/>
    </row>
    <row r="376" spans="1:12" ht="52" x14ac:dyDescent="0.2">
      <c r="A376" s="2" t="s">
        <v>852</v>
      </c>
      <c r="B376" s="2" t="s">
        <v>853</v>
      </c>
      <c r="C376" s="2" t="s">
        <v>862</v>
      </c>
      <c r="D376" s="2" t="s">
        <v>863</v>
      </c>
      <c r="E376" s="3" t="s">
        <v>16</v>
      </c>
      <c r="F376" s="4" t="s">
        <v>17</v>
      </c>
      <c r="G376" s="2" t="s">
        <v>17</v>
      </c>
      <c r="H376" s="5" t="s">
        <v>18</v>
      </c>
      <c r="I376" s="2"/>
      <c r="J376" s="2"/>
      <c r="K376" s="2" t="s">
        <v>19</v>
      </c>
      <c r="L376" s="2"/>
    </row>
    <row r="377" spans="1:12" ht="39" x14ac:dyDescent="0.2">
      <c r="A377" s="2" t="s">
        <v>852</v>
      </c>
      <c r="B377" s="2" t="s">
        <v>853</v>
      </c>
      <c r="C377" s="2" t="s">
        <v>864</v>
      </c>
      <c r="D377" s="2" t="s">
        <v>865</v>
      </c>
      <c r="E377" s="3" t="s">
        <v>16</v>
      </c>
      <c r="F377" s="4" t="s">
        <v>17</v>
      </c>
      <c r="G377" s="2" t="s">
        <v>17</v>
      </c>
      <c r="H377" s="5" t="s">
        <v>18</v>
      </c>
      <c r="I377" s="2"/>
      <c r="J377" s="2"/>
      <c r="K377" s="2" t="s">
        <v>19</v>
      </c>
      <c r="L377" s="2"/>
    </row>
    <row r="378" spans="1:12" ht="39" x14ac:dyDescent="0.2">
      <c r="A378" s="2" t="s">
        <v>852</v>
      </c>
      <c r="B378" s="2" t="s">
        <v>853</v>
      </c>
      <c r="C378" s="2" t="s">
        <v>866</v>
      </c>
      <c r="D378" s="2" t="s">
        <v>867</v>
      </c>
      <c r="E378" s="3" t="s">
        <v>16</v>
      </c>
      <c r="F378" s="4" t="s">
        <v>17</v>
      </c>
      <c r="G378" s="2" t="s">
        <v>17</v>
      </c>
      <c r="H378" s="5" t="s">
        <v>18</v>
      </c>
      <c r="I378" s="2"/>
      <c r="J378" s="2"/>
      <c r="K378" s="2" t="s">
        <v>19</v>
      </c>
      <c r="L378" s="2"/>
    </row>
    <row r="379" spans="1:12" ht="39" x14ac:dyDescent="0.2">
      <c r="A379" s="2" t="s">
        <v>852</v>
      </c>
      <c r="B379" s="2" t="s">
        <v>868</v>
      </c>
      <c r="C379" s="2" t="s">
        <v>869</v>
      </c>
      <c r="D379" s="2" t="s">
        <v>870</v>
      </c>
      <c r="E379" s="3" t="s">
        <v>16</v>
      </c>
      <c r="F379" s="4" t="s">
        <v>17</v>
      </c>
      <c r="G379" s="2" t="s">
        <v>17</v>
      </c>
      <c r="H379" s="5" t="s">
        <v>18</v>
      </c>
      <c r="I379" s="2"/>
      <c r="J379" s="2"/>
      <c r="K379" s="2" t="s">
        <v>19</v>
      </c>
      <c r="L379" s="2"/>
    </row>
    <row r="380" spans="1:12" ht="39" x14ac:dyDescent="0.2">
      <c r="A380" s="2" t="s">
        <v>852</v>
      </c>
      <c r="B380" s="2" t="s">
        <v>868</v>
      </c>
      <c r="C380" s="2" t="s">
        <v>871</v>
      </c>
      <c r="D380" s="2" t="s">
        <v>872</v>
      </c>
      <c r="E380" s="3" t="s">
        <v>16</v>
      </c>
      <c r="F380" s="4" t="s">
        <v>17</v>
      </c>
      <c r="G380" s="2" t="s">
        <v>17</v>
      </c>
      <c r="H380" s="5" t="s">
        <v>18</v>
      </c>
      <c r="I380" s="2"/>
      <c r="J380" s="2"/>
      <c r="K380" s="2" t="s">
        <v>19</v>
      </c>
      <c r="L380" s="2"/>
    </row>
    <row r="381" spans="1:12" ht="39" x14ac:dyDescent="0.2">
      <c r="A381" s="2" t="s">
        <v>852</v>
      </c>
      <c r="B381" s="2" t="s">
        <v>868</v>
      </c>
      <c r="C381" s="2" t="s">
        <v>873</v>
      </c>
      <c r="D381" s="2" t="s">
        <v>874</v>
      </c>
      <c r="E381" s="3" t="s">
        <v>16</v>
      </c>
      <c r="F381" s="4" t="s">
        <v>17</v>
      </c>
      <c r="G381" s="2" t="s">
        <v>17</v>
      </c>
      <c r="H381" s="5" t="s">
        <v>18</v>
      </c>
      <c r="I381" s="2"/>
      <c r="J381" s="2"/>
      <c r="K381" s="2" t="s">
        <v>19</v>
      </c>
      <c r="L381" s="2"/>
    </row>
    <row r="382" spans="1:12" ht="39" x14ac:dyDescent="0.2">
      <c r="A382" s="2" t="s">
        <v>852</v>
      </c>
      <c r="B382" s="2" t="s">
        <v>868</v>
      </c>
      <c r="C382" s="2" t="s">
        <v>875</v>
      </c>
      <c r="D382" s="2" t="s">
        <v>876</v>
      </c>
      <c r="E382" s="3" t="s">
        <v>16</v>
      </c>
      <c r="F382" s="4" t="s">
        <v>17</v>
      </c>
      <c r="G382" s="2" t="s">
        <v>17</v>
      </c>
      <c r="H382" s="5" t="s">
        <v>18</v>
      </c>
      <c r="I382" s="2"/>
      <c r="J382" s="2"/>
      <c r="K382" s="2" t="s">
        <v>19</v>
      </c>
      <c r="L382" s="2"/>
    </row>
    <row r="383" spans="1:12" ht="52" x14ac:dyDescent="0.2">
      <c r="A383" s="2" t="s">
        <v>852</v>
      </c>
      <c r="B383" s="2" t="s">
        <v>868</v>
      </c>
      <c r="C383" s="2" t="s">
        <v>877</v>
      </c>
      <c r="D383" s="2" t="s">
        <v>878</v>
      </c>
      <c r="E383" s="3" t="s">
        <v>16</v>
      </c>
      <c r="F383" s="4" t="s">
        <v>17</v>
      </c>
      <c r="G383" s="2" t="s">
        <v>17</v>
      </c>
      <c r="H383" s="5" t="s">
        <v>18</v>
      </c>
      <c r="I383" s="2"/>
      <c r="J383" s="2"/>
      <c r="K383" s="2" t="s">
        <v>19</v>
      </c>
      <c r="L383" s="2"/>
    </row>
    <row r="384" spans="1:12" ht="52" x14ac:dyDescent="0.2">
      <c r="A384" s="2" t="s">
        <v>852</v>
      </c>
      <c r="B384" s="2" t="s">
        <v>879</v>
      </c>
      <c r="C384" s="2" t="s">
        <v>880</v>
      </c>
      <c r="D384" s="2" t="s">
        <v>881</v>
      </c>
      <c r="E384" s="3" t="s">
        <v>16</v>
      </c>
      <c r="F384" s="4" t="s">
        <v>17</v>
      </c>
      <c r="G384" s="2" t="s">
        <v>17</v>
      </c>
      <c r="H384" s="5" t="s">
        <v>18</v>
      </c>
      <c r="I384" s="2"/>
      <c r="J384" s="2"/>
      <c r="K384" s="2" t="s">
        <v>19</v>
      </c>
      <c r="L384" s="2"/>
    </row>
    <row r="385" spans="1:12" ht="52" x14ac:dyDescent="0.2">
      <c r="A385" s="2" t="s">
        <v>852</v>
      </c>
      <c r="B385" s="2" t="s">
        <v>879</v>
      </c>
      <c r="C385" s="2" t="s">
        <v>882</v>
      </c>
      <c r="D385" s="2" t="s">
        <v>883</v>
      </c>
      <c r="E385" s="3" t="s">
        <v>16</v>
      </c>
      <c r="F385" s="4" t="s">
        <v>17</v>
      </c>
      <c r="G385" s="2" t="s">
        <v>17</v>
      </c>
      <c r="H385" s="5" t="s">
        <v>18</v>
      </c>
      <c r="I385" s="2"/>
      <c r="J385" s="2"/>
      <c r="K385" s="2" t="s">
        <v>19</v>
      </c>
      <c r="L385" s="2"/>
    </row>
    <row r="386" spans="1:12" ht="39" x14ac:dyDescent="0.2">
      <c r="A386" s="2" t="s">
        <v>852</v>
      </c>
      <c r="B386" s="2" t="s">
        <v>879</v>
      </c>
      <c r="C386" s="2" t="s">
        <v>884</v>
      </c>
      <c r="D386" s="2" t="s">
        <v>885</v>
      </c>
      <c r="E386" s="3" t="s">
        <v>16</v>
      </c>
      <c r="F386" s="4" t="s">
        <v>17</v>
      </c>
      <c r="G386" s="2" t="s">
        <v>17</v>
      </c>
      <c r="H386" s="5" t="s">
        <v>18</v>
      </c>
      <c r="I386" s="2"/>
      <c r="J386" s="2"/>
      <c r="K386" s="2" t="s">
        <v>19</v>
      </c>
      <c r="L386" s="2"/>
    </row>
    <row r="387" spans="1:12" ht="39" x14ac:dyDescent="0.2">
      <c r="A387" s="2" t="s">
        <v>852</v>
      </c>
      <c r="B387" s="2" t="s">
        <v>879</v>
      </c>
      <c r="C387" s="2" t="s">
        <v>886</v>
      </c>
      <c r="D387" s="2" t="s">
        <v>887</v>
      </c>
      <c r="E387" s="3" t="s">
        <v>16</v>
      </c>
      <c r="F387" s="4" t="s">
        <v>17</v>
      </c>
      <c r="G387" s="2" t="s">
        <v>17</v>
      </c>
      <c r="H387" s="5" t="s">
        <v>18</v>
      </c>
      <c r="I387" s="2"/>
      <c r="J387" s="2"/>
      <c r="K387" s="2" t="s">
        <v>19</v>
      </c>
      <c r="L387" s="2"/>
    </row>
    <row r="388" spans="1:12" ht="39" x14ac:dyDescent="0.2">
      <c r="A388" s="2" t="s">
        <v>852</v>
      </c>
      <c r="B388" s="2" t="s">
        <v>888</v>
      </c>
      <c r="C388" s="2" t="s">
        <v>889</v>
      </c>
      <c r="D388" s="2" t="s">
        <v>890</v>
      </c>
      <c r="E388" s="3" t="s">
        <v>16</v>
      </c>
      <c r="F388" s="4" t="s">
        <v>17</v>
      </c>
      <c r="G388" s="2" t="s">
        <v>17</v>
      </c>
      <c r="H388" s="5" t="s">
        <v>18</v>
      </c>
      <c r="I388" s="2"/>
      <c r="J388" s="2"/>
      <c r="K388" s="2" t="s">
        <v>19</v>
      </c>
      <c r="L388" s="2"/>
    </row>
    <row r="389" spans="1:12" ht="39" x14ac:dyDescent="0.2">
      <c r="A389" s="2" t="s">
        <v>852</v>
      </c>
      <c r="B389" s="2" t="s">
        <v>888</v>
      </c>
      <c r="C389" s="2" t="s">
        <v>891</v>
      </c>
      <c r="D389" s="2" t="s">
        <v>892</v>
      </c>
      <c r="E389" s="3" t="s">
        <v>16</v>
      </c>
      <c r="F389" s="4" t="s">
        <v>17</v>
      </c>
      <c r="G389" s="2" t="s">
        <v>17</v>
      </c>
      <c r="H389" s="5" t="s">
        <v>18</v>
      </c>
      <c r="I389" s="2"/>
      <c r="J389" s="2"/>
      <c r="K389" s="2" t="s">
        <v>19</v>
      </c>
      <c r="L389" s="2"/>
    </row>
    <row r="390" spans="1:12" ht="52" x14ac:dyDescent="0.2">
      <c r="A390" s="2" t="s">
        <v>852</v>
      </c>
      <c r="B390" s="2" t="s">
        <v>888</v>
      </c>
      <c r="C390" s="2" t="s">
        <v>893</v>
      </c>
      <c r="D390" s="2" t="s">
        <v>894</v>
      </c>
      <c r="E390" s="3" t="s">
        <v>16</v>
      </c>
      <c r="F390" s="4" t="s">
        <v>17</v>
      </c>
      <c r="G390" s="2" t="s">
        <v>17</v>
      </c>
      <c r="H390" s="5" t="s">
        <v>18</v>
      </c>
      <c r="I390" s="2"/>
      <c r="J390" s="2"/>
      <c r="K390" s="2" t="s">
        <v>19</v>
      </c>
      <c r="L390" s="2"/>
    </row>
    <row r="391" spans="1:12" ht="39" x14ac:dyDescent="0.2">
      <c r="A391" s="2" t="s">
        <v>852</v>
      </c>
      <c r="B391" s="2" t="s">
        <v>888</v>
      </c>
      <c r="C391" s="2" t="s">
        <v>895</v>
      </c>
      <c r="D391" s="2" t="s">
        <v>896</v>
      </c>
      <c r="E391" s="3" t="s">
        <v>16</v>
      </c>
      <c r="F391" s="4" t="s">
        <v>17</v>
      </c>
      <c r="G391" s="2" t="s">
        <v>17</v>
      </c>
      <c r="H391" s="5" t="s">
        <v>18</v>
      </c>
      <c r="I391" s="2"/>
      <c r="J391" s="2"/>
      <c r="K391" s="2" t="s">
        <v>19</v>
      </c>
      <c r="L391" s="2"/>
    </row>
    <row r="392" spans="1:12" ht="39" x14ac:dyDescent="0.2">
      <c r="A392" s="2" t="s">
        <v>852</v>
      </c>
      <c r="B392" s="2" t="s">
        <v>888</v>
      </c>
      <c r="C392" s="2" t="s">
        <v>897</v>
      </c>
      <c r="D392" s="2" t="s">
        <v>898</v>
      </c>
      <c r="E392" s="3" t="s">
        <v>16</v>
      </c>
      <c r="F392" s="4" t="s">
        <v>17</v>
      </c>
      <c r="G392" s="2" t="s">
        <v>17</v>
      </c>
      <c r="H392" s="5" t="s">
        <v>18</v>
      </c>
      <c r="I392" s="2"/>
      <c r="J392" s="2"/>
      <c r="K392" s="2" t="s">
        <v>19</v>
      </c>
      <c r="L392" s="2"/>
    </row>
    <row r="393" spans="1:12" ht="39" x14ac:dyDescent="0.2">
      <c r="A393" s="2" t="s">
        <v>852</v>
      </c>
      <c r="B393" s="2" t="s">
        <v>888</v>
      </c>
      <c r="C393" s="2" t="s">
        <v>899</v>
      </c>
      <c r="D393" s="2" t="s">
        <v>900</v>
      </c>
      <c r="E393" s="3" t="s">
        <v>16</v>
      </c>
      <c r="F393" s="4" t="s">
        <v>17</v>
      </c>
      <c r="G393" s="2" t="s">
        <v>17</v>
      </c>
      <c r="H393" s="5" t="s">
        <v>18</v>
      </c>
      <c r="I393" s="2"/>
      <c r="J393" s="2"/>
      <c r="K393" s="2" t="s">
        <v>19</v>
      </c>
      <c r="L393" s="2"/>
    </row>
    <row r="394" spans="1:12" ht="52" x14ac:dyDescent="0.2">
      <c r="A394" s="2" t="s">
        <v>852</v>
      </c>
      <c r="B394" s="2" t="s">
        <v>888</v>
      </c>
      <c r="C394" s="2" t="s">
        <v>901</v>
      </c>
      <c r="D394" s="2" t="s">
        <v>902</v>
      </c>
      <c r="E394" s="3" t="s">
        <v>16</v>
      </c>
      <c r="F394" s="4" t="s">
        <v>17</v>
      </c>
      <c r="G394" s="2" t="s">
        <v>17</v>
      </c>
      <c r="H394" s="5" t="s">
        <v>18</v>
      </c>
      <c r="I394" s="2"/>
      <c r="J394" s="2"/>
      <c r="K394" s="2" t="s">
        <v>19</v>
      </c>
      <c r="L394" s="2"/>
    </row>
    <row r="395" spans="1:12" ht="52" x14ac:dyDescent="0.2">
      <c r="A395" s="2" t="s">
        <v>852</v>
      </c>
      <c r="B395" s="2" t="s">
        <v>888</v>
      </c>
      <c r="C395" s="2" t="s">
        <v>903</v>
      </c>
      <c r="D395" s="2" t="s">
        <v>904</v>
      </c>
      <c r="E395" s="3" t="s">
        <v>16</v>
      </c>
      <c r="F395" s="4" t="s">
        <v>17</v>
      </c>
      <c r="G395" s="2" t="s">
        <v>17</v>
      </c>
      <c r="H395" s="5" t="s">
        <v>18</v>
      </c>
      <c r="I395" s="2"/>
      <c r="J395" s="2"/>
      <c r="K395" s="2" t="s">
        <v>19</v>
      </c>
      <c r="L395" s="2"/>
    </row>
    <row r="396" spans="1:12" ht="52" x14ac:dyDescent="0.2">
      <c r="A396" s="2" t="s">
        <v>852</v>
      </c>
      <c r="B396" s="2" t="s">
        <v>888</v>
      </c>
      <c r="C396" s="2" t="s">
        <v>905</v>
      </c>
      <c r="D396" s="2" t="s">
        <v>906</v>
      </c>
      <c r="E396" s="3" t="s">
        <v>16</v>
      </c>
      <c r="F396" s="4" t="s">
        <v>17</v>
      </c>
      <c r="G396" s="2" t="s">
        <v>17</v>
      </c>
      <c r="H396" s="5" t="s">
        <v>18</v>
      </c>
      <c r="I396" s="2"/>
      <c r="J396" s="2"/>
      <c r="K396" s="2" t="s">
        <v>19</v>
      </c>
      <c r="L396" s="2"/>
    </row>
    <row r="397" spans="1:12" ht="39" x14ac:dyDescent="0.2">
      <c r="A397" s="2" t="s">
        <v>852</v>
      </c>
      <c r="B397" s="2" t="s">
        <v>888</v>
      </c>
      <c r="C397" s="2" t="s">
        <v>907</v>
      </c>
      <c r="D397" s="2" t="s">
        <v>908</v>
      </c>
      <c r="E397" s="3" t="s">
        <v>16</v>
      </c>
      <c r="F397" s="4" t="s">
        <v>17</v>
      </c>
      <c r="G397" s="2" t="s">
        <v>17</v>
      </c>
      <c r="H397" s="5" t="s">
        <v>18</v>
      </c>
      <c r="I397" s="2"/>
      <c r="J397" s="2"/>
      <c r="K397" s="2" t="s">
        <v>19</v>
      </c>
      <c r="L397" s="2"/>
    </row>
    <row r="398" spans="1:12" ht="39" x14ac:dyDescent="0.2">
      <c r="A398" s="2" t="s">
        <v>852</v>
      </c>
      <c r="B398" s="2" t="s">
        <v>888</v>
      </c>
      <c r="C398" s="2" t="s">
        <v>909</v>
      </c>
      <c r="D398" s="2" t="s">
        <v>910</v>
      </c>
      <c r="E398" s="3" t="s">
        <v>16</v>
      </c>
      <c r="F398" s="4" t="s">
        <v>17</v>
      </c>
      <c r="G398" s="2" t="s">
        <v>17</v>
      </c>
      <c r="H398" s="5" t="s">
        <v>18</v>
      </c>
      <c r="I398" s="2"/>
      <c r="J398" s="2"/>
      <c r="K398" s="2" t="s">
        <v>19</v>
      </c>
      <c r="L398" s="2"/>
    </row>
    <row r="399" spans="1:12" ht="39" x14ac:dyDescent="0.2">
      <c r="A399" s="2" t="s">
        <v>852</v>
      </c>
      <c r="B399" s="2" t="s">
        <v>888</v>
      </c>
      <c r="C399" s="2" t="s">
        <v>911</v>
      </c>
      <c r="D399" s="2" t="s">
        <v>912</v>
      </c>
      <c r="E399" s="3" t="s">
        <v>16</v>
      </c>
      <c r="F399" s="4" t="s">
        <v>17</v>
      </c>
      <c r="G399" s="2" t="s">
        <v>17</v>
      </c>
      <c r="H399" s="5" t="s">
        <v>18</v>
      </c>
      <c r="I399" s="2"/>
      <c r="J399" s="2"/>
      <c r="K399" s="2" t="s">
        <v>19</v>
      </c>
      <c r="L399" s="2"/>
    </row>
    <row r="400" spans="1:12" ht="52" x14ac:dyDescent="0.2">
      <c r="A400" s="2" t="s">
        <v>852</v>
      </c>
      <c r="B400" s="2" t="s">
        <v>913</v>
      </c>
      <c r="C400" s="2" t="s">
        <v>914</v>
      </c>
      <c r="D400" s="2" t="s">
        <v>915</v>
      </c>
      <c r="E400" s="3" t="s">
        <v>16</v>
      </c>
      <c r="F400" s="4" t="s">
        <v>17</v>
      </c>
      <c r="G400" s="2" t="s">
        <v>17</v>
      </c>
      <c r="H400" s="5" t="s">
        <v>18</v>
      </c>
      <c r="I400" s="2"/>
      <c r="J400" s="2"/>
      <c r="K400" s="2" t="s">
        <v>19</v>
      </c>
      <c r="L400" s="2"/>
    </row>
    <row r="401" spans="1:12" ht="52" x14ac:dyDescent="0.2">
      <c r="A401" s="2" t="s">
        <v>852</v>
      </c>
      <c r="B401" s="2" t="s">
        <v>913</v>
      </c>
      <c r="C401" s="2" t="s">
        <v>916</v>
      </c>
      <c r="D401" s="2" t="s">
        <v>917</v>
      </c>
      <c r="E401" s="3" t="s">
        <v>16</v>
      </c>
      <c r="F401" s="4" t="s">
        <v>17</v>
      </c>
      <c r="G401" s="2" t="s">
        <v>17</v>
      </c>
      <c r="H401" s="5" t="s">
        <v>18</v>
      </c>
      <c r="I401" s="2"/>
      <c r="J401" s="2"/>
      <c r="K401" s="2" t="s">
        <v>19</v>
      </c>
      <c r="L401" s="2"/>
    </row>
    <row r="402" spans="1:12" ht="39" x14ac:dyDescent="0.2">
      <c r="A402" s="2" t="s">
        <v>852</v>
      </c>
      <c r="B402" s="2" t="s">
        <v>913</v>
      </c>
      <c r="C402" s="2" t="s">
        <v>918</v>
      </c>
      <c r="D402" s="2" t="s">
        <v>919</v>
      </c>
      <c r="E402" s="3" t="s">
        <v>16</v>
      </c>
      <c r="F402" s="4" t="s">
        <v>17</v>
      </c>
      <c r="G402" s="2" t="s">
        <v>17</v>
      </c>
      <c r="H402" s="5" t="s">
        <v>18</v>
      </c>
      <c r="I402" s="2"/>
      <c r="J402" s="2"/>
      <c r="K402" s="2" t="s">
        <v>19</v>
      </c>
      <c r="L402" s="2"/>
    </row>
    <row r="403" spans="1:12" ht="26" x14ac:dyDescent="0.2">
      <c r="A403" s="2" t="s">
        <v>852</v>
      </c>
      <c r="B403" s="2" t="s">
        <v>913</v>
      </c>
      <c r="C403" s="2" t="s">
        <v>920</v>
      </c>
      <c r="D403" s="2" t="s">
        <v>921</v>
      </c>
      <c r="E403" s="3" t="s">
        <v>16</v>
      </c>
      <c r="F403" s="4" t="s">
        <v>17</v>
      </c>
      <c r="G403" s="2" t="s">
        <v>17</v>
      </c>
      <c r="H403" s="5" t="s">
        <v>18</v>
      </c>
      <c r="I403" s="2"/>
      <c r="J403" s="2"/>
      <c r="K403" s="2" t="s">
        <v>19</v>
      </c>
      <c r="L403" s="2"/>
    </row>
    <row r="404" spans="1:12" ht="91" x14ac:dyDescent="0.2">
      <c r="A404" s="2" t="s">
        <v>852</v>
      </c>
      <c r="B404" s="2" t="s">
        <v>913</v>
      </c>
      <c r="C404" s="2" t="s">
        <v>922</v>
      </c>
      <c r="D404" s="2" t="s">
        <v>923</v>
      </c>
      <c r="E404" s="3" t="s">
        <v>16</v>
      </c>
      <c r="F404" s="4" t="s">
        <v>17</v>
      </c>
      <c r="G404" s="2" t="s">
        <v>17</v>
      </c>
      <c r="H404" s="5" t="s">
        <v>18</v>
      </c>
      <c r="I404" s="2"/>
      <c r="J404" s="2"/>
      <c r="K404" s="2" t="s">
        <v>19</v>
      </c>
      <c r="L404" s="2"/>
    </row>
    <row r="405" spans="1:12" ht="39" x14ac:dyDescent="0.2">
      <c r="A405" s="2" t="s">
        <v>852</v>
      </c>
      <c r="B405" s="2" t="s">
        <v>924</v>
      </c>
      <c r="C405" s="2" t="s">
        <v>925</v>
      </c>
      <c r="D405" s="2" t="s">
        <v>926</v>
      </c>
      <c r="E405" s="3" t="s">
        <v>16</v>
      </c>
      <c r="F405" s="4" t="s">
        <v>17</v>
      </c>
      <c r="G405" s="2" t="s">
        <v>17</v>
      </c>
      <c r="H405" s="5" t="s">
        <v>18</v>
      </c>
      <c r="I405" s="2"/>
      <c r="J405" s="2"/>
      <c r="K405" s="2" t="s">
        <v>19</v>
      </c>
      <c r="L405" s="2"/>
    </row>
    <row r="406" spans="1:12" ht="52" x14ac:dyDescent="0.2">
      <c r="A406" s="2" t="s">
        <v>852</v>
      </c>
      <c r="B406" s="2" t="s">
        <v>924</v>
      </c>
      <c r="C406" s="2" t="s">
        <v>927</v>
      </c>
      <c r="D406" s="2" t="s">
        <v>928</v>
      </c>
      <c r="E406" s="3" t="s">
        <v>16</v>
      </c>
      <c r="F406" s="4" t="s">
        <v>17</v>
      </c>
      <c r="G406" s="2" t="s">
        <v>17</v>
      </c>
      <c r="H406" s="5" t="s">
        <v>18</v>
      </c>
      <c r="I406" s="2"/>
      <c r="J406" s="2"/>
      <c r="K406" s="2" t="s">
        <v>19</v>
      </c>
      <c r="L406" s="2"/>
    </row>
    <row r="407" spans="1:12" ht="39" x14ac:dyDescent="0.2">
      <c r="A407" s="2" t="s">
        <v>852</v>
      </c>
      <c r="B407" s="2" t="s">
        <v>924</v>
      </c>
      <c r="C407" s="2" t="s">
        <v>929</v>
      </c>
      <c r="D407" s="2" t="s">
        <v>930</v>
      </c>
      <c r="E407" s="3" t="s">
        <v>16</v>
      </c>
      <c r="F407" s="4" t="s">
        <v>17</v>
      </c>
      <c r="G407" s="2" t="s">
        <v>17</v>
      </c>
      <c r="H407" s="5" t="s">
        <v>18</v>
      </c>
      <c r="I407" s="2"/>
      <c r="J407" s="2"/>
      <c r="K407" s="2" t="s">
        <v>19</v>
      </c>
      <c r="L407" s="2"/>
    </row>
    <row r="408" spans="1:12" ht="39" x14ac:dyDescent="0.2">
      <c r="A408" s="2" t="s">
        <v>852</v>
      </c>
      <c r="B408" s="2" t="s">
        <v>924</v>
      </c>
      <c r="C408" s="2" t="s">
        <v>931</v>
      </c>
      <c r="D408" s="2" t="s">
        <v>932</v>
      </c>
      <c r="E408" s="3" t="s">
        <v>16</v>
      </c>
      <c r="F408" s="4" t="s">
        <v>17</v>
      </c>
      <c r="G408" s="2" t="s">
        <v>17</v>
      </c>
      <c r="H408" s="5" t="s">
        <v>18</v>
      </c>
      <c r="I408" s="2"/>
      <c r="J408" s="2"/>
      <c r="K408" s="2" t="s">
        <v>19</v>
      </c>
      <c r="L408" s="2"/>
    </row>
    <row r="409" spans="1:12" ht="52" x14ac:dyDescent="0.2">
      <c r="A409" s="2" t="s">
        <v>852</v>
      </c>
      <c r="B409" s="2" t="s">
        <v>924</v>
      </c>
      <c r="C409" s="2" t="s">
        <v>933</v>
      </c>
      <c r="D409" s="2" t="s">
        <v>934</v>
      </c>
      <c r="E409" s="3" t="s">
        <v>16</v>
      </c>
      <c r="F409" s="4" t="s">
        <v>17</v>
      </c>
      <c r="G409" s="2" t="s">
        <v>17</v>
      </c>
      <c r="H409" s="5" t="s">
        <v>18</v>
      </c>
      <c r="I409" s="2"/>
      <c r="J409" s="2"/>
      <c r="K409" s="2" t="s">
        <v>19</v>
      </c>
      <c r="L409" s="2"/>
    </row>
    <row r="410" spans="1:12" ht="65" x14ac:dyDescent="0.2">
      <c r="A410" s="2" t="s">
        <v>852</v>
      </c>
      <c r="B410" s="2" t="s">
        <v>924</v>
      </c>
      <c r="C410" s="2" t="s">
        <v>935</v>
      </c>
      <c r="D410" s="2" t="s">
        <v>936</v>
      </c>
      <c r="E410" s="3" t="s">
        <v>16</v>
      </c>
      <c r="F410" s="4" t="s">
        <v>17</v>
      </c>
      <c r="G410" s="2" t="s">
        <v>17</v>
      </c>
      <c r="H410" s="5" t="s">
        <v>18</v>
      </c>
      <c r="I410" s="2"/>
      <c r="J410" s="2"/>
      <c r="K410" s="2" t="s">
        <v>19</v>
      </c>
      <c r="L410" s="2"/>
    </row>
    <row r="411" spans="1:12" ht="39" x14ac:dyDescent="0.2">
      <c r="A411" s="2" t="s">
        <v>852</v>
      </c>
      <c r="B411" s="2" t="s">
        <v>924</v>
      </c>
      <c r="C411" s="2" t="s">
        <v>937</v>
      </c>
      <c r="D411" s="2" t="s">
        <v>938</v>
      </c>
      <c r="E411" s="3" t="s">
        <v>16</v>
      </c>
      <c r="F411" s="4" t="s">
        <v>17</v>
      </c>
      <c r="G411" s="2" t="s">
        <v>17</v>
      </c>
      <c r="H411" s="5" t="s">
        <v>18</v>
      </c>
      <c r="I411" s="2"/>
      <c r="J411" s="2"/>
      <c r="K411" s="2" t="s">
        <v>19</v>
      </c>
      <c r="L411" s="2"/>
    </row>
    <row r="412" spans="1:12" ht="39" x14ac:dyDescent="0.2">
      <c r="A412" s="2" t="s">
        <v>852</v>
      </c>
      <c r="B412" s="2" t="s">
        <v>939</v>
      </c>
      <c r="C412" s="2" t="s">
        <v>940</v>
      </c>
      <c r="D412" s="2" t="s">
        <v>941</v>
      </c>
      <c r="E412" s="3" t="s">
        <v>16</v>
      </c>
      <c r="F412" s="4" t="s">
        <v>17</v>
      </c>
      <c r="G412" s="2" t="s">
        <v>17</v>
      </c>
      <c r="H412" s="5" t="s">
        <v>18</v>
      </c>
      <c r="I412" s="2"/>
      <c r="J412" s="2"/>
      <c r="K412" s="2" t="s">
        <v>19</v>
      </c>
      <c r="L412" s="2"/>
    </row>
    <row r="413" spans="1:12" ht="39" x14ac:dyDescent="0.2">
      <c r="A413" s="2" t="s">
        <v>852</v>
      </c>
      <c r="B413" s="2" t="s">
        <v>939</v>
      </c>
      <c r="C413" s="2" t="s">
        <v>942</v>
      </c>
      <c r="D413" s="2" t="s">
        <v>943</v>
      </c>
      <c r="E413" s="3" t="s">
        <v>16</v>
      </c>
      <c r="F413" s="4" t="s">
        <v>17</v>
      </c>
      <c r="G413" s="2" t="s">
        <v>17</v>
      </c>
      <c r="H413" s="5" t="s">
        <v>18</v>
      </c>
      <c r="I413" s="2"/>
      <c r="J413" s="2"/>
      <c r="K413" s="2" t="s">
        <v>19</v>
      </c>
      <c r="L413" s="2"/>
    </row>
    <row r="414" spans="1:12" ht="65" x14ac:dyDescent="0.2">
      <c r="A414" s="2" t="s">
        <v>852</v>
      </c>
      <c r="B414" s="2" t="s">
        <v>939</v>
      </c>
      <c r="C414" s="2" t="s">
        <v>944</v>
      </c>
      <c r="D414" s="2" t="s">
        <v>945</v>
      </c>
      <c r="E414" s="3" t="s">
        <v>16</v>
      </c>
      <c r="F414" s="4" t="s">
        <v>17</v>
      </c>
      <c r="G414" s="2" t="s">
        <v>17</v>
      </c>
      <c r="H414" s="5" t="s">
        <v>18</v>
      </c>
      <c r="I414" s="2"/>
      <c r="J414" s="2"/>
      <c r="K414" s="2" t="s">
        <v>19</v>
      </c>
      <c r="L414" s="2"/>
    </row>
    <row r="415" spans="1:12" ht="26" x14ac:dyDescent="0.2">
      <c r="A415" s="2" t="s">
        <v>852</v>
      </c>
      <c r="B415" s="2" t="s">
        <v>939</v>
      </c>
      <c r="C415" s="2" t="s">
        <v>946</v>
      </c>
      <c r="D415" s="2" t="s">
        <v>947</v>
      </c>
      <c r="E415" s="3" t="s">
        <v>16</v>
      </c>
      <c r="F415" s="4" t="s">
        <v>17</v>
      </c>
      <c r="G415" s="2" t="s">
        <v>17</v>
      </c>
      <c r="H415" s="5" t="s">
        <v>18</v>
      </c>
      <c r="I415" s="2"/>
      <c r="J415" s="2"/>
      <c r="K415" s="2" t="s">
        <v>19</v>
      </c>
      <c r="L415" s="2"/>
    </row>
    <row r="416" spans="1:12" ht="26" x14ac:dyDescent="0.2">
      <c r="A416" s="2" t="s">
        <v>852</v>
      </c>
      <c r="B416" s="2" t="s">
        <v>939</v>
      </c>
      <c r="C416" s="2" t="s">
        <v>948</v>
      </c>
      <c r="D416" s="2" t="s">
        <v>949</v>
      </c>
      <c r="E416" s="3" t="s">
        <v>16</v>
      </c>
      <c r="F416" s="4" t="s">
        <v>17</v>
      </c>
      <c r="G416" s="2" t="s">
        <v>17</v>
      </c>
      <c r="H416" s="5" t="s">
        <v>18</v>
      </c>
      <c r="I416" s="2"/>
      <c r="J416" s="2"/>
      <c r="K416" s="2" t="s">
        <v>19</v>
      </c>
      <c r="L416" s="2"/>
    </row>
    <row r="417" spans="1:12" ht="26" x14ac:dyDescent="0.2">
      <c r="A417" s="2" t="s">
        <v>852</v>
      </c>
      <c r="B417" s="2" t="s">
        <v>939</v>
      </c>
      <c r="C417" s="2" t="s">
        <v>950</v>
      </c>
      <c r="D417" s="2" t="s">
        <v>951</v>
      </c>
      <c r="E417" s="3" t="s">
        <v>16</v>
      </c>
      <c r="F417" s="4" t="s">
        <v>17</v>
      </c>
      <c r="G417" s="2" t="s">
        <v>17</v>
      </c>
      <c r="H417" s="5" t="s">
        <v>18</v>
      </c>
      <c r="I417" s="2"/>
      <c r="J417" s="2"/>
      <c r="K417" s="2" t="s">
        <v>19</v>
      </c>
      <c r="L417" s="2"/>
    </row>
    <row r="418" spans="1:12" ht="26" x14ac:dyDescent="0.2">
      <c r="A418" s="2" t="s">
        <v>852</v>
      </c>
      <c r="B418" s="2" t="s">
        <v>939</v>
      </c>
      <c r="C418" s="2" t="s">
        <v>952</v>
      </c>
      <c r="D418" s="2" t="s">
        <v>953</v>
      </c>
      <c r="E418" s="3" t="s">
        <v>16</v>
      </c>
      <c r="F418" s="4" t="s">
        <v>17</v>
      </c>
      <c r="G418" s="2" t="s">
        <v>17</v>
      </c>
      <c r="H418" s="5" t="s">
        <v>18</v>
      </c>
      <c r="I418" s="2"/>
      <c r="J418" s="2"/>
      <c r="K418" s="2" t="s">
        <v>19</v>
      </c>
      <c r="L418" s="2"/>
    </row>
    <row r="419" spans="1:12" ht="26" x14ac:dyDescent="0.2">
      <c r="A419" s="2" t="s">
        <v>852</v>
      </c>
      <c r="B419" s="2" t="s">
        <v>939</v>
      </c>
      <c r="C419" s="2" t="s">
        <v>954</v>
      </c>
      <c r="D419" s="2" t="s">
        <v>955</v>
      </c>
      <c r="E419" s="3" t="s">
        <v>16</v>
      </c>
      <c r="F419" s="4" t="s">
        <v>17</v>
      </c>
      <c r="G419" s="2" t="s">
        <v>17</v>
      </c>
      <c r="H419" s="5" t="s">
        <v>18</v>
      </c>
      <c r="I419" s="2"/>
      <c r="J419" s="2"/>
      <c r="K419" s="2" t="s">
        <v>19</v>
      </c>
      <c r="L419" s="2"/>
    </row>
    <row r="420" spans="1:12" ht="39" x14ac:dyDescent="0.2">
      <c r="A420" s="2" t="s">
        <v>852</v>
      </c>
      <c r="B420" s="2" t="s">
        <v>939</v>
      </c>
      <c r="C420" s="2" t="s">
        <v>956</v>
      </c>
      <c r="D420" s="2" t="s">
        <v>957</v>
      </c>
      <c r="E420" s="3" t="s">
        <v>16</v>
      </c>
      <c r="F420" s="4" t="s">
        <v>17</v>
      </c>
      <c r="G420" s="2" t="s">
        <v>17</v>
      </c>
      <c r="H420" s="5" t="s">
        <v>18</v>
      </c>
      <c r="I420" s="2"/>
      <c r="J420" s="2"/>
      <c r="K420" s="2" t="s">
        <v>19</v>
      </c>
      <c r="L420" s="2"/>
    </row>
    <row r="421" spans="1:12" ht="26" x14ac:dyDescent="0.2">
      <c r="A421" s="2" t="s">
        <v>852</v>
      </c>
      <c r="B421" s="2" t="s">
        <v>939</v>
      </c>
      <c r="C421" s="2" t="s">
        <v>958</v>
      </c>
      <c r="D421" s="2" t="s">
        <v>959</v>
      </c>
      <c r="E421" s="3" t="s">
        <v>16</v>
      </c>
      <c r="F421" s="4" t="s">
        <v>17</v>
      </c>
      <c r="G421" s="2" t="s">
        <v>17</v>
      </c>
      <c r="H421" s="5" t="s">
        <v>18</v>
      </c>
      <c r="I421" s="2"/>
      <c r="J421" s="2"/>
      <c r="K421" s="2" t="s">
        <v>19</v>
      </c>
      <c r="L421" s="2"/>
    </row>
    <row r="422" spans="1:12" ht="52" x14ac:dyDescent="0.2">
      <c r="A422" s="2" t="s">
        <v>852</v>
      </c>
      <c r="B422" s="2" t="s">
        <v>939</v>
      </c>
      <c r="C422" s="2" t="s">
        <v>960</v>
      </c>
      <c r="D422" s="2" t="s">
        <v>961</v>
      </c>
      <c r="E422" s="3" t="s">
        <v>16</v>
      </c>
      <c r="F422" s="4" t="s">
        <v>17</v>
      </c>
      <c r="G422" s="2" t="s">
        <v>17</v>
      </c>
      <c r="H422" s="5" t="s">
        <v>18</v>
      </c>
      <c r="I422" s="2"/>
      <c r="J422" s="2"/>
      <c r="K422" s="2" t="s">
        <v>19</v>
      </c>
      <c r="L422" s="2"/>
    </row>
    <row r="423" spans="1:12" ht="39" x14ac:dyDescent="0.2">
      <c r="A423" s="2" t="s">
        <v>852</v>
      </c>
      <c r="B423" s="2" t="s">
        <v>939</v>
      </c>
      <c r="C423" s="2" t="s">
        <v>962</v>
      </c>
      <c r="D423" s="2" t="s">
        <v>963</v>
      </c>
      <c r="E423" s="3" t="s">
        <v>16</v>
      </c>
      <c r="F423" s="4" t="s">
        <v>17</v>
      </c>
      <c r="G423" s="2" t="s">
        <v>17</v>
      </c>
      <c r="H423" s="5" t="s">
        <v>18</v>
      </c>
      <c r="I423" s="2"/>
      <c r="J423" s="2"/>
      <c r="K423" s="2" t="s">
        <v>19</v>
      </c>
      <c r="L423" s="2"/>
    </row>
    <row r="424" spans="1:12" ht="39" x14ac:dyDescent="0.2">
      <c r="A424" s="2" t="s">
        <v>852</v>
      </c>
      <c r="B424" s="2" t="s">
        <v>964</v>
      </c>
      <c r="C424" s="2" t="s">
        <v>965</v>
      </c>
      <c r="D424" s="2" t="s">
        <v>966</v>
      </c>
      <c r="E424" s="3" t="s">
        <v>16</v>
      </c>
      <c r="F424" s="4" t="s">
        <v>17</v>
      </c>
      <c r="G424" s="2" t="s">
        <v>17</v>
      </c>
      <c r="H424" s="5" t="s">
        <v>18</v>
      </c>
      <c r="I424" s="2"/>
      <c r="J424" s="2"/>
      <c r="K424" s="2" t="s">
        <v>19</v>
      </c>
      <c r="L424" s="2"/>
    </row>
    <row r="425" spans="1:12" ht="91" x14ac:dyDescent="0.2">
      <c r="A425" s="2" t="s">
        <v>852</v>
      </c>
      <c r="B425" s="2" t="s">
        <v>964</v>
      </c>
      <c r="C425" s="2" t="s">
        <v>967</v>
      </c>
      <c r="D425" s="2" t="s">
        <v>968</v>
      </c>
      <c r="E425" s="3" t="s">
        <v>16</v>
      </c>
      <c r="F425" s="4" t="s">
        <v>17</v>
      </c>
      <c r="G425" s="2" t="s">
        <v>17</v>
      </c>
      <c r="H425" s="5" t="s">
        <v>18</v>
      </c>
      <c r="I425" s="2"/>
      <c r="J425" s="2"/>
      <c r="K425" s="2" t="s">
        <v>19</v>
      </c>
      <c r="L425" s="2"/>
    </row>
    <row r="426" spans="1:12" ht="39" x14ac:dyDescent="0.2">
      <c r="A426" s="2" t="s">
        <v>852</v>
      </c>
      <c r="B426" s="2" t="s">
        <v>964</v>
      </c>
      <c r="C426" s="2" t="s">
        <v>969</v>
      </c>
      <c r="D426" s="2" t="s">
        <v>970</v>
      </c>
      <c r="E426" s="3" t="s">
        <v>16</v>
      </c>
      <c r="F426" s="4" t="s">
        <v>17</v>
      </c>
      <c r="G426" s="2" t="s">
        <v>17</v>
      </c>
      <c r="H426" s="5" t="s">
        <v>18</v>
      </c>
      <c r="I426" s="2"/>
      <c r="J426" s="2"/>
      <c r="K426" s="2" t="s">
        <v>19</v>
      </c>
      <c r="L426" s="2"/>
    </row>
    <row r="427" spans="1:12" ht="39" x14ac:dyDescent="0.2">
      <c r="A427" s="2" t="s">
        <v>852</v>
      </c>
      <c r="B427" s="2" t="s">
        <v>964</v>
      </c>
      <c r="C427" s="2" t="s">
        <v>971</v>
      </c>
      <c r="D427" s="2" t="s">
        <v>972</v>
      </c>
      <c r="E427" s="3" t="s">
        <v>16</v>
      </c>
      <c r="F427" s="4" t="s">
        <v>17</v>
      </c>
      <c r="G427" s="2" t="s">
        <v>17</v>
      </c>
      <c r="H427" s="5" t="s">
        <v>18</v>
      </c>
      <c r="I427" s="2"/>
      <c r="J427" s="2"/>
      <c r="K427" s="2" t="s">
        <v>19</v>
      </c>
      <c r="L427" s="2"/>
    </row>
    <row r="428" spans="1:12" ht="39" x14ac:dyDescent="0.2">
      <c r="A428" s="2" t="s">
        <v>852</v>
      </c>
      <c r="B428" s="2" t="s">
        <v>964</v>
      </c>
      <c r="C428" s="2" t="s">
        <v>973</v>
      </c>
      <c r="D428" s="2" t="s">
        <v>974</v>
      </c>
      <c r="E428" s="3" t="s">
        <v>16</v>
      </c>
      <c r="F428" s="4" t="s">
        <v>17</v>
      </c>
      <c r="G428" s="2" t="s">
        <v>17</v>
      </c>
      <c r="H428" s="5" t="s">
        <v>18</v>
      </c>
      <c r="I428" s="2"/>
      <c r="J428" s="2"/>
      <c r="K428" s="2" t="s">
        <v>19</v>
      </c>
      <c r="L428" s="2"/>
    </row>
    <row r="429" spans="1:12" ht="65" x14ac:dyDescent="0.2">
      <c r="A429" s="2" t="s">
        <v>852</v>
      </c>
      <c r="B429" s="2" t="s">
        <v>975</v>
      </c>
      <c r="C429" s="2" t="s">
        <v>976</v>
      </c>
      <c r="D429" s="2" t="s">
        <v>977</v>
      </c>
      <c r="E429" s="3" t="s">
        <v>16</v>
      </c>
      <c r="F429" s="4" t="s">
        <v>17</v>
      </c>
      <c r="G429" s="2" t="s">
        <v>17</v>
      </c>
      <c r="H429" s="5" t="s">
        <v>18</v>
      </c>
      <c r="I429" s="2"/>
      <c r="J429" s="2"/>
      <c r="K429" s="2" t="s">
        <v>19</v>
      </c>
      <c r="L429" s="2"/>
    </row>
    <row r="430" spans="1:12" ht="39" x14ac:dyDescent="0.2">
      <c r="A430" s="2" t="s">
        <v>852</v>
      </c>
      <c r="B430" s="2" t="s">
        <v>975</v>
      </c>
      <c r="C430" s="2" t="s">
        <v>978</v>
      </c>
      <c r="D430" s="2" t="s">
        <v>979</v>
      </c>
      <c r="E430" s="3" t="s">
        <v>16</v>
      </c>
      <c r="F430" s="4" t="s">
        <v>17</v>
      </c>
      <c r="G430" s="2" t="s">
        <v>17</v>
      </c>
      <c r="H430" s="5" t="s">
        <v>18</v>
      </c>
      <c r="I430" s="2"/>
      <c r="J430" s="2"/>
      <c r="K430" s="2" t="s">
        <v>19</v>
      </c>
      <c r="L430" s="2"/>
    </row>
    <row r="431" spans="1:12" ht="39" x14ac:dyDescent="0.2">
      <c r="A431" s="2" t="s">
        <v>852</v>
      </c>
      <c r="B431" s="2" t="s">
        <v>975</v>
      </c>
      <c r="C431" s="2" t="s">
        <v>980</v>
      </c>
      <c r="D431" s="2" t="s">
        <v>981</v>
      </c>
      <c r="E431" s="3" t="s">
        <v>16</v>
      </c>
      <c r="F431" s="4" t="s">
        <v>17</v>
      </c>
      <c r="G431" s="2" t="s">
        <v>17</v>
      </c>
      <c r="H431" s="5" t="s">
        <v>18</v>
      </c>
      <c r="I431" s="2"/>
      <c r="J431" s="2"/>
      <c r="K431" s="2" t="s">
        <v>19</v>
      </c>
      <c r="L431" s="2"/>
    </row>
    <row r="432" spans="1:12" ht="39" x14ac:dyDescent="0.2">
      <c r="A432" s="2" t="s">
        <v>852</v>
      </c>
      <c r="B432" s="2" t="s">
        <v>975</v>
      </c>
      <c r="C432" s="2" t="s">
        <v>982</v>
      </c>
      <c r="D432" s="2" t="s">
        <v>983</v>
      </c>
      <c r="E432" s="3" t="s">
        <v>16</v>
      </c>
      <c r="F432" s="4" t="s">
        <v>17</v>
      </c>
      <c r="G432" s="2" t="s">
        <v>17</v>
      </c>
      <c r="H432" s="5" t="s">
        <v>18</v>
      </c>
      <c r="I432" s="2"/>
      <c r="J432" s="2"/>
      <c r="K432" s="2" t="s">
        <v>19</v>
      </c>
      <c r="L432" s="2"/>
    </row>
    <row r="433" spans="1:12" ht="39" x14ac:dyDescent="0.2">
      <c r="A433" s="2" t="s">
        <v>852</v>
      </c>
      <c r="B433" s="2" t="s">
        <v>975</v>
      </c>
      <c r="C433" s="2" t="s">
        <v>984</v>
      </c>
      <c r="D433" s="2" t="s">
        <v>985</v>
      </c>
      <c r="E433" s="3" t="s">
        <v>16</v>
      </c>
      <c r="F433" s="4" t="s">
        <v>17</v>
      </c>
      <c r="G433" s="2" t="s">
        <v>17</v>
      </c>
      <c r="H433" s="5" t="s">
        <v>18</v>
      </c>
      <c r="I433" s="2"/>
      <c r="J433" s="2"/>
      <c r="K433" s="2" t="s">
        <v>19</v>
      </c>
      <c r="L433" s="2"/>
    </row>
    <row r="434" spans="1:12" ht="39" x14ac:dyDescent="0.2">
      <c r="A434" s="2" t="s">
        <v>852</v>
      </c>
      <c r="B434" s="2" t="s">
        <v>975</v>
      </c>
      <c r="C434" s="2" t="s">
        <v>986</v>
      </c>
      <c r="D434" s="2" t="s">
        <v>987</v>
      </c>
      <c r="E434" s="3" t="s">
        <v>16</v>
      </c>
      <c r="F434" s="4" t="s">
        <v>17</v>
      </c>
      <c r="G434" s="2" t="s">
        <v>17</v>
      </c>
      <c r="H434" s="5" t="s">
        <v>18</v>
      </c>
      <c r="I434" s="2"/>
      <c r="J434" s="2"/>
      <c r="K434" s="2" t="s">
        <v>19</v>
      </c>
      <c r="L434" s="2"/>
    </row>
    <row r="435" spans="1:12" ht="52" x14ac:dyDescent="0.2">
      <c r="A435" s="2" t="s">
        <v>852</v>
      </c>
      <c r="B435" s="2" t="s">
        <v>975</v>
      </c>
      <c r="C435" s="2" t="s">
        <v>988</v>
      </c>
      <c r="D435" s="2" t="s">
        <v>989</v>
      </c>
      <c r="E435" s="3" t="s">
        <v>16</v>
      </c>
      <c r="F435" s="4" t="s">
        <v>17</v>
      </c>
      <c r="G435" s="2" t="s">
        <v>17</v>
      </c>
      <c r="H435" s="5" t="s">
        <v>18</v>
      </c>
      <c r="I435" s="2"/>
      <c r="J435" s="2"/>
      <c r="K435" s="2" t="s">
        <v>19</v>
      </c>
      <c r="L435" s="2"/>
    </row>
    <row r="436" spans="1:12" ht="39" x14ac:dyDescent="0.2">
      <c r="A436" s="2" t="s">
        <v>852</v>
      </c>
      <c r="B436" s="2" t="s">
        <v>975</v>
      </c>
      <c r="C436" s="2" t="s">
        <v>990</v>
      </c>
      <c r="D436" s="2" t="s">
        <v>991</v>
      </c>
      <c r="E436" s="3" t="s">
        <v>16</v>
      </c>
      <c r="F436" s="4" t="s">
        <v>17</v>
      </c>
      <c r="G436" s="2" t="s">
        <v>17</v>
      </c>
      <c r="H436" s="5" t="s">
        <v>18</v>
      </c>
      <c r="I436" s="2"/>
      <c r="J436" s="2"/>
      <c r="K436" s="2" t="s">
        <v>19</v>
      </c>
      <c r="L436" s="2"/>
    </row>
    <row r="437" spans="1:12" ht="52" x14ac:dyDescent="0.2">
      <c r="A437" s="2" t="s">
        <v>852</v>
      </c>
      <c r="B437" s="2" t="s">
        <v>992</v>
      </c>
      <c r="C437" s="2" t="s">
        <v>993</v>
      </c>
      <c r="D437" s="2" t="s">
        <v>994</v>
      </c>
      <c r="E437" s="3" t="s">
        <v>16</v>
      </c>
      <c r="F437" s="4" t="s">
        <v>17</v>
      </c>
      <c r="G437" s="2" t="s">
        <v>17</v>
      </c>
      <c r="H437" s="5" t="s">
        <v>18</v>
      </c>
      <c r="I437" s="2"/>
      <c r="J437" s="2"/>
      <c r="K437" s="2" t="s">
        <v>19</v>
      </c>
      <c r="L437" s="2"/>
    </row>
    <row r="438" spans="1:12" ht="52" x14ac:dyDescent="0.2">
      <c r="A438" s="2" t="s">
        <v>852</v>
      </c>
      <c r="B438" s="2" t="s">
        <v>992</v>
      </c>
      <c r="C438" s="2" t="s">
        <v>995</v>
      </c>
      <c r="D438" s="2" t="s">
        <v>996</v>
      </c>
      <c r="E438" s="3" t="s">
        <v>16</v>
      </c>
      <c r="F438" s="4" t="s">
        <v>17</v>
      </c>
      <c r="G438" s="2" t="s">
        <v>17</v>
      </c>
      <c r="H438" s="5" t="s">
        <v>18</v>
      </c>
      <c r="I438" s="2"/>
      <c r="J438" s="2"/>
      <c r="K438" s="2" t="s">
        <v>19</v>
      </c>
      <c r="L438" s="2"/>
    </row>
    <row r="439" spans="1:12" ht="52" x14ac:dyDescent="0.2">
      <c r="A439" s="2" t="s">
        <v>852</v>
      </c>
      <c r="B439" s="2" t="s">
        <v>992</v>
      </c>
      <c r="C439" s="2" t="s">
        <v>997</v>
      </c>
      <c r="D439" s="2" t="s">
        <v>998</v>
      </c>
      <c r="E439" s="3" t="s">
        <v>16</v>
      </c>
      <c r="F439" s="4" t="s">
        <v>17</v>
      </c>
      <c r="G439" s="2" t="s">
        <v>17</v>
      </c>
      <c r="H439" s="5" t="s">
        <v>18</v>
      </c>
      <c r="I439" s="2"/>
      <c r="J439" s="2"/>
      <c r="K439" s="2" t="s">
        <v>19</v>
      </c>
      <c r="L439" s="2"/>
    </row>
    <row r="440" spans="1:12" ht="39" x14ac:dyDescent="0.2">
      <c r="A440" s="2" t="s">
        <v>852</v>
      </c>
      <c r="B440" s="2" t="s">
        <v>992</v>
      </c>
      <c r="C440" s="2" t="s">
        <v>999</v>
      </c>
      <c r="D440" s="2" t="s">
        <v>1000</v>
      </c>
      <c r="E440" s="3" t="s">
        <v>16</v>
      </c>
      <c r="F440" s="4" t="s">
        <v>17</v>
      </c>
      <c r="G440" s="2" t="s">
        <v>17</v>
      </c>
      <c r="H440" s="5" t="s">
        <v>18</v>
      </c>
      <c r="I440" s="2"/>
      <c r="J440" s="2"/>
      <c r="K440" s="2" t="s">
        <v>19</v>
      </c>
      <c r="L440" s="2"/>
    </row>
    <row r="441" spans="1:12" ht="52" x14ac:dyDescent="0.2">
      <c r="A441" s="2" t="s">
        <v>852</v>
      </c>
      <c r="B441" s="2" t="s">
        <v>992</v>
      </c>
      <c r="C441" s="2" t="s">
        <v>1001</v>
      </c>
      <c r="D441" s="2" t="s">
        <v>1002</v>
      </c>
      <c r="E441" s="3" t="s">
        <v>16</v>
      </c>
      <c r="F441" s="4" t="s">
        <v>17</v>
      </c>
      <c r="G441" s="2" t="s">
        <v>17</v>
      </c>
      <c r="H441" s="5" t="s">
        <v>18</v>
      </c>
      <c r="I441" s="2"/>
      <c r="J441" s="2"/>
      <c r="K441" s="2" t="s">
        <v>19</v>
      </c>
      <c r="L441" s="2"/>
    </row>
    <row r="442" spans="1:12" ht="65" x14ac:dyDescent="0.2">
      <c r="A442" s="2" t="s">
        <v>852</v>
      </c>
      <c r="B442" s="2" t="s">
        <v>992</v>
      </c>
      <c r="C442" s="2" t="s">
        <v>1003</v>
      </c>
      <c r="D442" s="2" t="s">
        <v>1004</v>
      </c>
      <c r="E442" s="3" t="s">
        <v>16</v>
      </c>
      <c r="F442" s="4" t="s">
        <v>17</v>
      </c>
      <c r="G442" s="2" t="s">
        <v>17</v>
      </c>
      <c r="H442" s="5" t="s">
        <v>18</v>
      </c>
      <c r="I442" s="2"/>
      <c r="J442" s="2"/>
      <c r="K442" s="2" t="s">
        <v>19</v>
      </c>
      <c r="L442" s="2"/>
    </row>
    <row r="443" spans="1:12" ht="39" x14ac:dyDescent="0.2">
      <c r="A443" s="2" t="s">
        <v>852</v>
      </c>
      <c r="B443" s="2" t="s">
        <v>992</v>
      </c>
      <c r="C443" s="2" t="s">
        <v>1005</v>
      </c>
      <c r="D443" s="2" t="s">
        <v>1006</v>
      </c>
      <c r="E443" s="3" t="s">
        <v>16</v>
      </c>
      <c r="F443" s="4" t="s">
        <v>17</v>
      </c>
      <c r="G443" s="2" t="s">
        <v>17</v>
      </c>
      <c r="H443" s="5" t="s">
        <v>18</v>
      </c>
      <c r="I443" s="2"/>
      <c r="J443" s="2"/>
      <c r="K443" s="2" t="s">
        <v>19</v>
      </c>
      <c r="L443" s="2"/>
    </row>
    <row r="444" spans="1:12" ht="52" x14ac:dyDescent="0.2">
      <c r="A444" s="2" t="s">
        <v>852</v>
      </c>
      <c r="B444" s="2" t="s">
        <v>992</v>
      </c>
      <c r="C444" s="2" t="s">
        <v>1007</v>
      </c>
      <c r="D444" s="2" t="s">
        <v>1008</v>
      </c>
      <c r="E444" s="3" t="s">
        <v>16</v>
      </c>
      <c r="F444" s="4" t="s">
        <v>17</v>
      </c>
      <c r="G444" s="2" t="s">
        <v>17</v>
      </c>
      <c r="H444" s="5" t="s">
        <v>18</v>
      </c>
      <c r="I444" s="2"/>
      <c r="J444" s="2"/>
      <c r="K444" s="2" t="s">
        <v>19</v>
      </c>
      <c r="L444" s="2"/>
    </row>
    <row r="445" spans="1:12" ht="39" x14ac:dyDescent="0.2">
      <c r="A445" s="2" t="s">
        <v>852</v>
      </c>
      <c r="B445" s="2" t="s">
        <v>1009</v>
      </c>
      <c r="C445" s="2" t="s">
        <v>1010</v>
      </c>
      <c r="D445" s="2" t="s">
        <v>1011</v>
      </c>
      <c r="E445" s="3" t="s">
        <v>16</v>
      </c>
      <c r="F445" s="4" t="s">
        <v>17</v>
      </c>
      <c r="G445" s="2" t="s">
        <v>17</v>
      </c>
      <c r="H445" s="5" t="s">
        <v>18</v>
      </c>
      <c r="I445" s="2"/>
      <c r="J445" s="2"/>
      <c r="K445" s="2" t="s">
        <v>19</v>
      </c>
      <c r="L445" s="2"/>
    </row>
    <row r="446" spans="1:12" ht="26" x14ac:dyDescent="0.2">
      <c r="A446" s="2" t="s">
        <v>852</v>
      </c>
      <c r="B446" s="2" t="s">
        <v>1009</v>
      </c>
      <c r="C446" s="2" t="s">
        <v>1012</v>
      </c>
      <c r="D446" s="2" t="s">
        <v>1013</v>
      </c>
      <c r="E446" s="3" t="s">
        <v>16</v>
      </c>
      <c r="F446" s="4" t="s">
        <v>17</v>
      </c>
      <c r="G446" s="2" t="s">
        <v>17</v>
      </c>
      <c r="H446" s="5" t="s">
        <v>18</v>
      </c>
      <c r="I446" s="2"/>
      <c r="J446" s="2"/>
      <c r="K446" s="2" t="s">
        <v>19</v>
      </c>
      <c r="L446" s="2"/>
    </row>
    <row r="447" spans="1:12" ht="39" x14ac:dyDescent="0.2">
      <c r="A447" s="2" t="s">
        <v>852</v>
      </c>
      <c r="B447" s="2" t="s">
        <v>1009</v>
      </c>
      <c r="C447" s="2" t="s">
        <v>1014</v>
      </c>
      <c r="D447" s="2" t="s">
        <v>1015</v>
      </c>
      <c r="E447" s="3" t="s">
        <v>16</v>
      </c>
      <c r="F447" s="4" t="s">
        <v>17</v>
      </c>
      <c r="G447" s="2" t="s">
        <v>17</v>
      </c>
      <c r="H447" s="5" t="s">
        <v>18</v>
      </c>
      <c r="I447" s="2"/>
      <c r="J447" s="2"/>
      <c r="K447" s="2" t="s">
        <v>19</v>
      </c>
      <c r="L447" s="2"/>
    </row>
    <row r="448" spans="1:12" ht="52" x14ac:dyDescent="0.2">
      <c r="A448" s="2" t="s">
        <v>852</v>
      </c>
      <c r="B448" s="2" t="s">
        <v>1009</v>
      </c>
      <c r="C448" s="2" t="s">
        <v>1016</v>
      </c>
      <c r="D448" s="2" t="s">
        <v>1017</v>
      </c>
      <c r="E448" s="3" t="s">
        <v>16</v>
      </c>
      <c r="F448" s="4" t="s">
        <v>17</v>
      </c>
      <c r="G448" s="2" t="s">
        <v>17</v>
      </c>
      <c r="H448" s="5" t="s">
        <v>18</v>
      </c>
      <c r="I448" s="2"/>
      <c r="J448" s="2"/>
      <c r="K448" s="2" t="s">
        <v>19</v>
      </c>
      <c r="L448" s="2"/>
    </row>
    <row r="449" spans="1:12" ht="26" x14ac:dyDescent="0.2">
      <c r="A449" s="2" t="s">
        <v>852</v>
      </c>
      <c r="B449" s="2" t="s">
        <v>1018</v>
      </c>
      <c r="C449" s="2" t="s">
        <v>1019</v>
      </c>
      <c r="D449" s="2" t="s">
        <v>1020</v>
      </c>
      <c r="E449" s="3" t="s">
        <v>16</v>
      </c>
      <c r="F449" s="4" t="s">
        <v>17</v>
      </c>
      <c r="G449" s="2" t="s">
        <v>17</v>
      </c>
      <c r="H449" s="5" t="s">
        <v>18</v>
      </c>
      <c r="I449" s="2"/>
      <c r="J449" s="2"/>
      <c r="K449" s="2" t="s">
        <v>19</v>
      </c>
      <c r="L449" s="2"/>
    </row>
    <row r="450" spans="1:12" ht="39" x14ac:dyDescent="0.2">
      <c r="A450" s="2" t="s">
        <v>852</v>
      </c>
      <c r="B450" s="2" t="s">
        <v>1018</v>
      </c>
      <c r="C450" s="2" t="s">
        <v>1021</v>
      </c>
      <c r="D450" s="2" t="s">
        <v>1022</v>
      </c>
      <c r="E450" s="3" t="s">
        <v>16</v>
      </c>
      <c r="F450" s="4" t="s">
        <v>17</v>
      </c>
      <c r="G450" s="2" t="s">
        <v>17</v>
      </c>
      <c r="H450" s="5" t="s">
        <v>18</v>
      </c>
      <c r="I450" s="2"/>
      <c r="J450" s="2"/>
      <c r="K450" s="2" t="s">
        <v>19</v>
      </c>
      <c r="L450" s="2"/>
    </row>
    <row r="451" spans="1:12" ht="39" x14ac:dyDescent="0.2">
      <c r="A451" s="2" t="s">
        <v>852</v>
      </c>
      <c r="B451" s="2" t="s">
        <v>1018</v>
      </c>
      <c r="C451" s="2" t="s">
        <v>1023</v>
      </c>
      <c r="D451" s="2" t="s">
        <v>1024</v>
      </c>
      <c r="E451" s="3" t="s">
        <v>16</v>
      </c>
      <c r="F451" s="4" t="s">
        <v>17</v>
      </c>
      <c r="G451" s="2" t="s">
        <v>17</v>
      </c>
      <c r="H451" s="5" t="s">
        <v>18</v>
      </c>
      <c r="I451" s="2"/>
      <c r="J451" s="2"/>
      <c r="K451" s="2" t="s">
        <v>19</v>
      </c>
      <c r="L451" s="2"/>
    </row>
    <row r="452" spans="1:12" ht="39" x14ac:dyDescent="0.2">
      <c r="A452" s="2" t="s">
        <v>852</v>
      </c>
      <c r="B452" s="2" t="s">
        <v>1018</v>
      </c>
      <c r="C452" s="2" t="s">
        <v>1025</v>
      </c>
      <c r="D452" s="2" t="s">
        <v>1026</v>
      </c>
      <c r="E452" s="3" t="s">
        <v>16</v>
      </c>
      <c r="F452" s="4" t="s">
        <v>17</v>
      </c>
      <c r="G452" s="2" t="s">
        <v>17</v>
      </c>
      <c r="H452" s="5" t="s">
        <v>18</v>
      </c>
      <c r="I452" s="2"/>
      <c r="J452" s="2"/>
      <c r="K452" s="2" t="s">
        <v>19</v>
      </c>
      <c r="L452" s="2"/>
    </row>
    <row r="453" spans="1:12" ht="78" x14ac:dyDescent="0.2">
      <c r="A453" s="2" t="s">
        <v>852</v>
      </c>
      <c r="B453" s="2" t="s">
        <v>1018</v>
      </c>
      <c r="C453" s="2" t="s">
        <v>1027</v>
      </c>
      <c r="D453" s="2" t="s">
        <v>1028</v>
      </c>
      <c r="E453" s="3" t="s">
        <v>16</v>
      </c>
      <c r="F453" s="4" t="s">
        <v>17</v>
      </c>
      <c r="G453" s="2" t="s">
        <v>17</v>
      </c>
      <c r="H453" s="5" t="s">
        <v>18</v>
      </c>
      <c r="I453" s="2"/>
      <c r="J453" s="2"/>
      <c r="K453" s="2" t="s">
        <v>19</v>
      </c>
      <c r="L453" s="2"/>
    </row>
    <row r="454" spans="1:12" ht="39" x14ac:dyDescent="0.2">
      <c r="A454" s="2" t="s">
        <v>852</v>
      </c>
      <c r="B454" s="2" t="s">
        <v>1029</v>
      </c>
      <c r="C454" s="2" t="s">
        <v>1030</v>
      </c>
      <c r="D454" s="2" t="s">
        <v>1031</v>
      </c>
      <c r="E454" s="3" t="s">
        <v>16</v>
      </c>
      <c r="F454" s="4" t="s">
        <v>17</v>
      </c>
      <c r="G454" s="2" t="s">
        <v>17</v>
      </c>
      <c r="H454" s="5" t="s">
        <v>18</v>
      </c>
      <c r="I454" s="2"/>
      <c r="J454" s="2"/>
      <c r="K454" s="2" t="s">
        <v>19</v>
      </c>
      <c r="L454" s="2"/>
    </row>
    <row r="455" spans="1:12" ht="39" x14ac:dyDescent="0.2">
      <c r="A455" s="2" t="s">
        <v>852</v>
      </c>
      <c r="B455" s="2" t="s">
        <v>1029</v>
      </c>
      <c r="C455" s="2" t="s">
        <v>1032</v>
      </c>
      <c r="D455" s="2" t="s">
        <v>1033</v>
      </c>
      <c r="E455" s="3" t="s">
        <v>16</v>
      </c>
      <c r="F455" s="4" t="s">
        <v>17</v>
      </c>
      <c r="G455" s="2" t="s">
        <v>17</v>
      </c>
      <c r="H455" s="5" t="s">
        <v>18</v>
      </c>
      <c r="I455" s="2"/>
      <c r="J455" s="2"/>
      <c r="K455" s="2" t="s">
        <v>19</v>
      </c>
      <c r="L455" s="2"/>
    </row>
    <row r="456" spans="1:12" ht="52" x14ac:dyDescent="0.2">
      <c r="A456" s="2" t="s">
        <v>852</v>
      </c>
      <c r="B456" s="2" t="s">
        <v>1029</v>
      </c>
      <c r="C456" s="2" t="s">
        <v>1034</v>
      </c>
      <c r="D456" s="2" t="s">
        <v>1035</v>
      </c>
      <c r="E456" s="3" t="s">
        <v>16</v>
      </c>
      <c r="F456" s="4" t="s">
        <v>17</v>
      </c>
      <c r="G456" s="2" t="s">
        <v>17</v>
      </c>
      <c r="H456" s="5" t="s">
        <v>18</v>
      </c>
      <c r="I456" s="2"/>
      <c r="J456" s="2"/>
      <c r="K456" s="2" t="s">
        <v>19</v>
      </c>
      <c r="L456" s="2"/>
    </row>
    <row r="457" spans="1:12" ht="39" x14ac:dyDescent="0.2">
      <c r="A457" s="2" t="s">
        <v>852</v>
      </c>
      <c r="B457" s="2" t="s">
        <v>1029</v>
      </c>
      <c r="C457" s="2" t="s">
        <v>1036</v>
      </c>
      <c r="D457" s="2" t="s">
        <v>1037</v>
      </c>
      <c r="E457" s="3" t="s">
        <v>16</v>
      </c>
      <c r="F457" s="4" t="s">
        <v>17</v>
      </c>
      <c r="G457" s="2" t="s">
        <v>17</v>
      </c>
      <c r="H457" s="5" t="s">
        <v>18</v>
      </c>
      <c r="I457" s="2"/>
      <c r="J457" s="2"/>
      <c r="K457" s="2" t="s">
        <v>19</v>
      </c>
      <c r="L457" s="2"/>
    </row>
    <row r="458" spans="1:12" ht="39" x14ac:dyDescent="0.2">
      <c r="A458" s="2" t="s">
        <v>852</v>
      </c>
      <c r="B458" s="2" t="s">
        <v>1029</v>
      </c>
      <c r="C458" s="2" t="s">
        <v>1038</v>
      </c>
      <c r="D458" s="2" t="s">
        <v>1039</v>
      </c>
      <c r="E458" s="3" t="s">
        <v>16</v>
      </c>
      <c r="F458" s="4" t="s">
        <v>17</v>
      </c>
      <c r="G458" s="2" t="s">
        <v>17</v>
      </c>
      <c r="H458" s="5" t="s">
        <v>18</v>
      </c>
      <c r="I458" s="2"/>
      <c r="J458" s="2"/>
      <c r="K458" s="2" t="s">
        <v>19</v>
      </c>
      <c r="L458" s="2"/>
    </row>
    <row r="459" spans="1:12" ht="39" x14ac:dyDescent="0.2">
      <c r="A459" s="2" t="s">
        <v>852</v>
      </c>
      <c r="B459" s="2" t="s">
        <v>1029</v>
      </c>
      <c r="C459" s="2" t="s">
        <v>1040</v>
      </c>
      <c r="D459" s="2" t="s">
        <v>1041</v>
      </c>
      <c r="E459" s="3" t="s">
        <v>16</v>
      </c>
      <c r="F459" s="4" t="s">
        <v>17</v>
      </c>
      <c r="G459" s="2" t="s">
        <v>17</v>
      </c>
      <c r="H459" s="5" t="s">
        <v>18</v>
      </c>
      <c r="I459" s="2"/>
      <c r="J459" s="2"/>
      <c r="K459" s="2" t="s">
        <v>19</v>
      </c>
      <c r="L459" s="2"/>
    </row>
    <row r="460" spans="1:12" ht="39" x14ac:dyDescent="0.2">
      <c r="A460" s="2" t="s">
        <v>852</v>
      </c>
      <c r="B460" s="2" t="s">
        <v>1029</v>
      </c>
      <c r="C460" s="2" t="s">
        <v>1042</v>
      </c>
      <c r="D460" s="2" t="s">
        <v>1043</v>
      </c>
      <c r="E460" s="3" t="s">
        <v>16</v>
      </c>
      <c r="F460" s="4" t="s">
        <v>17</v>
      </c>
      <c r="G460" s="2" t="s">
        <v>17</v>
      </c>
      <c r="H460" s="5" t="s">
        <v>18</v>
      </c>
      <c r="I460" s="2"/>
      <c r="J460" s="2"/>
      <c r="K460" s="2" t="s">
        <v>19</v>
      </c>
      <c r="L460" s="2"/>
    </row>
    <row r="461" spans="1:12" ht="39" x14ac:dyDescent="0.2">
      <c r="A461" s="2" t="s">
        <v>852</v>
      </c>
      <c r="B461" s="2" t="s">
        <v>1044</v>
      </c>
      <c r="C461" s="2" t="s">
        <v>1045</v>
      </c>
      <c r="D461" s="2" t="s">
        <v>1046</v>
      </c>
      <c r="E461" s="3" t="s">
        <v>16</v>
      </c>
      <c r="F461" s="4" t="s">
        <v>17</v>
      </c>
      <c r="G461" s="2" t="s">
        <v>17</v>
      </c>
      <c r="H461" s="5" t="s">
        <v>18</v>
      </c>
      <c r="I461" s="2"/>
      <c r="J461" s="2"/>
      <c r="K461" s="2" t="s">
        <v>19</v>
      </c>
      <c r="L461" s="2"/>
    </row>
    <row r="462" spans="1:12" ht="39" x14ac:dyDescent="0.2">
      <c r="A462" s="2" t="s">
        <v>852</v>
      </c>
      <c r="B462" s="2" t="s">
        <v>1044</v>
      </c>
      <c r="C462" s="2" t="s">
        <v>1047</v>
      </c>
      <c r="D462" s="2" t="s">
        <v>1048</v>
      </c>
      <c r="E462" s="3" t="s">
        <v>16</v>
      </c>
      <c r="F462" s="4" t="s">
        <v>17</v>
      </c>
      <c r="G462" s="2" t="s">
        <v>17</v>
      </c>
      <c r="H462" s="5" t="s">
        <v>18</v>
      </c>
      <c r="I462" s="2"/>
      <c r="J462" s="2"/>
      <c r="K462" s="2" t="s">
        <v>19</v>
      </c>
      <c r="L462" s="2"/>
    </row>
    <row r="463" spans="1:12" ht="52" x14ac:dyDescent="0.2">
      <c r="A463" s="2" t="s">
        <v>852</v>
      </c>
      <c r="B463" s="2" t="s">
        <v>1044</v>
      </c>
      <c r="C463" s="2" t="s">
        <v>1049</v>
      </c>
      <c r="D463" s="2" t="s">
        <v>1050</v>
      </c>
      <c r="E463" s="3" t="s">
        <v>16</v>
      </c>
      <c r="F463" s="4" t="s">
        <v>17</v>
      </c>
      <c r="G463" s="2" t="s">
        <v>17</v>
      </c>
      <c r="H463" s="5" t="s">
        <v>18</v>
      </c>
      <c r="I463" s="2"/>
      <c r="J463" s="2"/>
      <c r="K463" s="2" t="s">
        <v>19</v>
      </c>
      <c r="L463" s="2"/>
    </row>
    <row r="464" spans="1:12" ht="52" x14ac:dyDescent="0.2">
      <c r="A464" s="2" t="s">
        <v>852</v>
      </c>
      <c r="B464" s="2" t="s">
        <v>1044</v>
      </c>
      <c r="C464" s="2" t="s">
        <v>1051</v>
      </c>
      <c r="D464" s="2" t="s">
        <v>1052</v>
      </c>
      <c r="E464" s="3" t="s">
        <v>16</v>
      </c>
      <c r="F464" s="4" t="s">
        <v>17</v>
      </c>
      <c r="G464" s="2" t="s">
        <v>17</v>
      </c>
      <c r="H464" s="5" t="s">
        <v>18</v>
      </c>
      <c r="I464" s="2"/>
      <c r="J464" s="2"/>
      <c r="K464" s="2" t="s">
        <v>19</v>
      </c>
      <c r="L464" s="2"/>
    </row>
    <row r="465" spans="1:12" ht="52" x14ac:dyDescent="0.2">
      <c r="A465" s="2" t="s">
        <v>852</v>
      </c>
      <c r="B465" s="2" t="s">
        <v>1044</v>
      </c>
      <c r="C465" s="2" t="s">
        <v>1053</v>
      </c>
      <c r="D465" s="2" t="s">
        <v>1054</v>
      </c>
      <c r="E465" s="3" t="s">
        <v>16</v>
      </c>
      <c r="F465" s="4" t="s">
        <v>17</v>
      </c>
      <c r="G465" s="2" t="s">
        <v>17</v>
      </c>
      <c r="H465" s="5" t="s">
        <v>18</v>
      </c>
      <c r="I465" s="2"/>
      <c r="J465" s="2"/>
      <c r="K465" s="2" t="s">
        <v>19</v>
      </c>
      <c r="L465" s="2"/>
    </row>
    <row r="466" spans="1:12" ht="39" x14ac:dyDescent="0.2">
      <c r="A466" s="2" t="s">
        <v>852</v>
      </c>
      <c r="B466" s="2" t="s">
        <v>1044</v>
      </c>
      <c r="C466" s="2" t="s">
        <v>1055</v>
      </c>
      <c r="D466" s="2" t="s">
        <v>1056</v>
      </c>
      <c r="E466" s="3" t="s">
        <v>16</v>
      </c>
      <c r="F466" s="4" t="s">
        <v>17</v>
      </c>
      <c r="G466" s="2" t="s">
        <v>17</v>
      </c>
      <c r="H466" s="5" t="s">
        <v>18</v>
      </c>
      <c r="I466" s="2"/>
      <c r="J466" s="2"/>
      <c r="K466" s="2" t="s">
        <v>19</v>
      </c>
      <c r="L466" s="2"/>
    </row>
    <row r="467" spans="1:12" ht="39" x14ac:dyDescent="0.2">
      <c r="A467" s="2" t="s">
        <v>852</v>
      </c>
      <c r="B467" s="2" t="s">
        <v>1044</v>
      </c>
      <c r="C467" s="2" t="s">
        <v>1057</v>
      </c>
      <c r="D467" s="2" t="s">
        <v>1058</v>
      </c>
      <c r="E467" s="3" t="s">
        <v>16</v>
      </c>
      <c r="F467" s="4" t="s">
        <v>17</v>
      </c>
      <c r="G467" s="2" t="s">
        <v>17</v>
      </c>
      <c r="H467" s="5" t="s">
        <v>18</v>
      </c>
      <c r="I467" s="2"/>
      <c r="J467" s="2"/>
      <c r="K467" s="2" t="s">
        <v>19</v>
      </c>
      <c r="L467" s="2"/>
    </row>
    <row r="468" spans="1:12" ht="52" x14ac:dyDescent="0.2">
      <c r="A468" s="2" t="s">
        <v>852</v>
      </c>
      <c r="B468" s="2" t="s">
        <v>1059</v>
      </c>
      <c r="C468" s="2" t="s">
        <v>1060</v>
      </c>
      <c r="D468" s="2" t="s">
        <v>1061</v>
      </c>
      <c r="E468" s="3" t="s">
        <v>16</v>
      </c>
      <c r="F468" s="4" t="s">
        <v>17</v>
      </c>
      <c r="G468" s="2" t="s">
        <v>17</v>
      </c>
      <c r="H468" s="5" t="s">
        <v>18</v>
      </c>
      <c r="I468" s="2"/>
      <c r="J468" s="2"/>
      <c r="K468" s="2" t="s">
        <v>19</v>
      </c>
      <c r="L468" s="2"/>
    </row>
    <row r="469" spans="1:12" ht="39" x14ac:dyDescent="0.2">
      <c r="A469" s="2" t="s">
        <v>852</v>
      </c>
      <c r="B469" s="2" t="s">
        <v>1059</v>
      </c>
      <c r="C469" s="2" t="s">
        <v>1062</v>
      </c>
      <c r="D469" s="2" t="s">
        <v>1063</v>
      </c>
      <c r="E469" s="3" t="s">
        <v>16</v>
      </c>
      <c r="F469" s="4" t="s">
        <v>17</v>
      </c>
      <c r="G469" s="2" t="s">
        <v>17</v>
      </c>
      <c r="H469" s="5" t="s">
        <v>18</v>
      </c>
      <c r="I469" s="2"/>
      <c r="J469" s="2"/>
      <c r="K469" s="2" t="s">
        <v>19</v>
      </c>
      <c r="L469" s="2"/>
    </row>
    <row r="470" spans="1:12" ht="52" x14ac:dyDescent="0.2">
      <c r="A470" s="2" t="s">
        <v>852</v>
      </c>
      <c r="B470" s="2" t="s">
        <v>1059</v>
      </c>
      <c r="C470" s="2" t="s">
        <v>1064</v>
      </c>
      <c r="D470" s="2" t="s">
        <v>1065</v>
      </c>
      <c r="E470" s="3" t="s">
        <v>16</v>
      </c>
      <c r="F470" s="4" t="s">
        <v>17</v>
      </c>
      <c r="G470" s="2" t="s">
        <v>17</v>
      </c>
      <c r="H470" s="5" t="s">
        <v>18</v>
      </c>
      <c r="I470" s="2"/>
      <c r="J470" s="2"/>
      <c r="K470" s="2" t="s">
        <v>19</v>
      </c>
      <c r="L470" s="2"/>
    </row>
    <row r="471" spans="1:12" ht="39" x14ac:dyDescent="0.2">
      <c r="A471" s="2" t="s">
        <v>852</v>
      </c>
      <c r="B471" s="2" t="s">
        <v>1059</v>
      </c>
      <c r="C471" s="2" t="s">
        <v>1066</v>
      </c>
      <c r="D471" s="2" t="s">
        <v>1067</v>
      </c>
      <c r="E471" s="3" t="s">
        <v>16</v>
      </c>
      <c r="F471" s="4" t="s">
        <v>17</v>
      </c>
      <c r="G471" s="2" t="s">
        <v>17</v>
      </c>
      <c r="H471" s="5" t="s">
        <v>18</v>
      </c>
      <c r="I471" s="2"/>
      <c r="J471" s="2"/>
      <c r="K471" s="2" t="s">
        <v>19</v>
      </c>
      <c r="L471" s="2"/>
    </row>
    <row r="472" spans="1:12" ht="39" x14ac:dyDescent="0.2">
      <c r="A472" s="2" t="s">
        <v>852</v>
      </c>
      <c r="B472" s="2" t="s">
        <v>1059</v>
      </c>
      <c r="C472" s="2" t="s">
        <v>1068</v>
      </c>
      <c r="D472" s="2" t="s">
        <v>1069</v>
      </c>
      <c r="E472" s="3" t="s">
        <v>16</v>
      </c>
      <c r="F472" s="4" t="s">
        <v>17</v>
      </c>
      <c r="G472" s="2" t="s">
        <v>17</v>
      </c>
      <c r="H472" s="5" t="s">
        <v>18</v>
      </c>
      <c r="I472" s="2"/>
      <c r="J472" s="2"/>
      <c r="K472" s="2" t="s">
        <v>19</v>
      </c>
      <c r="L472" s="2"/>
    </row>
    <row r="473" spans="1:12" ht="39" x14ac:dyDescent="0.2">
      <c r="A473" s="2" t="s">
        <v>852</v>
      </c>
      <c r="B473" s="2" t="s">
        <v>1070</v>
      </c>
      <c r="C473" s="2" t="s">
        <v>1071</v>
      </c>
      <c r="D473" s="2" t="s">
        <v>1072</v>
      </c>
      <c r="E473" s="3" t="s">
        <v>16</v>
      </c>
      <c r="F473" s="4" t="s">
        <v>17</v>
      </c>
      <c r="G473" s="2" t="s">
        <v>17</v>
      </c>
      <c r="H473" s="5" t="s">
        <v>18</v>
      </c>
      <c r="I473" s="2"/>
      <c r="J473" s="2"/>
      <c r="K473" s="2" t="s">
        <v>19</v>
      </c>
      <c r="L473" s="2"/>
    </row>
    <row r="474" spans="1:12" ht="52" x14ac:dyDescent="0.2">
      <c r="A474" s="2" t="s">
        <v>852</v>
      </c>
      <c r="B474" s="2" t="s">
        <v>1070</v>
      </c>
      <c r="C474" s="2" t="s">
        <v>1073</v>
      </c>
      <c r="D474" s="2" t="s">
        <v>1074</v>
      </c>
      <c r="E474" s="3" t="s">
        <v>16</v>
      </c>
      <c r="F474" s="4" t="s">
        <v>17</v>
      </c>
      <c r="G474" s="2" t="s">
        <v>17</v>
      </c>
      <c r="H474" s="5" t="s">
        <v>18</v>
      </c>
      <c r="I474" s="2"/>
      <c r="J474" s="2"/>
      <c r="K474" s="2" t="s">
        <v>19</v>
      </c>
      <c r="L474" s="2"/>
    </row>
    <row r="475" spans="1:12" ht="39" x14ac:dyDescent="0.2">
      <c r="A475" s="2" t="s">
        <v>852</v>
      </c>
      <c r="B475" s="2" t="s">
        <v>1070</v>
      </c>
      <c r="C475" s="2" t="s">
        <v>1075</v>
      </c>
      <c r="D475" s="2" t="s">
        <v>1076</v>
      </c>
      <c r="E475" s="3" t="s">
        <v>16</v>
      </c>
      <c r="F475" s="4" t="s">
        <v>17</v>
      </c>
      <c r="G475" s="2" t="s">
        <v>17</v>
      </c>
      <c r="H475" s="5" t="s">
        <v>18</v>
      </c>
      <c r="I475" s="2"/>
      <c r="J475" s="2"/>
      <c r="K475" s="2" t="s">
        <v>19</v>
      </c>
      <c r="L475" s="2"/>
    </row>
    <row r="476" spans="1:12" ht="52" x14ac:dyDescent="0.2">
      <c r="A476" s="2" t="s">
        <v>852</v>
      </c>
      <c r="B476" s="2" t="s">
        <v>1070</v>
      </c>
      <c r="C476" s="2" t="s">
        <v>1077</v>
      </c>
      <c r="D476" s="2" t="s">
        <v>1078</v>
      </c>
      <c r="E476" s="3" t="s">
        <v>16</v>
      </c>
      <c r="F476" s="4" t="s">
        <v>17</v>
      </c>
      <c r="G476" s="2" t="s">
        <v>17</v>
      </c>
      <c r="H476" s="5" t="s">
        <v>18</v>
      </c>
      <c r="I476" s="2"/>
      <c r="J476" s="2"/>
      <c r="K476" s="2" t="s">
        <v>19</v>
      </c>
      <c r="L476" s="2"/>
    </row>
    <row r="477" spans="1:12" ht="39" x14ac:dyDescent="0.2">
      <c r="A477" s="2" t="s">
        <v>852</v>
      </c>
      <c r="B477" s="2" t="s">
        <v>1070</v>
      </c>
      <c r="C477" s="2" t="s">
        <v>1079</v>
      </c>
      <c r="D477" s="2" t="s">
        <v>1080</v>
      </c>
      <c r="E477" s="3" t="s">
        <v>16</v>
      </c>
      <c r="F477" s="4" t="s">
        <v>17</v>
      </c>
      <c r="G477" s="2" t="s">
        <v>17</v>
      </c>
      <c r="H477" s="5" t="s">
        <v>18</v>
      </c>
      <c r="I477" s="2"/>
      <c r="J477" s="2"/>
      <c r="K477" s="2" t="s">
        <v>19</v>
      </c>
      <c r="L477" s="2"/>
    </row>
    <row r="478" spans="1:12" ht="91" x14ac:dyDescent="0.2">
      <c r="A478" s="2" t="s">
        <v>852</v>
      </c>
      <c r="B478" s="2" t="s">
        <v>1070</v>
      </c>
      <c r="C478" s="2" t="s">
        <v>1081</v>
      </c>
      <c r="D478" s="2" t="s">
        <v>1082</v>
      </c>
      <c r="E478" s="3" t="s">
        <v>16</v>
      </c>
      <c r="F478" s="4" t="s">
        <v>17</v>
      </c>
      <c r="G478" s="2" t="s">
        <v>17</v>
      </c>
      <c r="H478" s="5" t="s">
        <v>18</v>
      </c>
      <c r="I478" s="2"/>
      <c r="J478" s="2"/>
      <c r="K478" s="2" t="s">
        <v>19</v>
      </c>
      <c r="L478" s="2"/>
    </row>
    <row r="479" spans="1:12" ht="39" x14ac:dyDescent="0.2">
      <c r="A479" s="2" t="s">
        <v>852</v>
      </c>
      <c r="B479" s="2" t="s">
        <v>1083</v>
      </c>
      <c r="C479" s="2" t="s">
        <v>1084</v>
      </c>
      <c r="D479" s="2" t="s">
        <v>1085</v>
      </c>
      <c r="E479" s="3" t="s">
        <v>16</v>
      </c>
      <c r="F479" s="4" t="s">
        <v>17</v>
      </c>
      <c r="G479" s="2" t="s">
        <v>17</v>
      </c>
      <c r="H479" s="5" t="s">
        <v>18</v>
      </c>
      <c r="I479" s="2"/>
      <c r="J479" s="2"/>
      <c r="K479" s="2" t="s">
        <v>19</v>
      </c>
      <c r="L479" s="2"/>
    </row>
    <row r="480" spans="1:12" ht="39" x14ac:dyDescent="0.2">
      <c r="A480" s="2" t="s">
        <v>852</v>
      </c>
      <c r="B480" s="2" t="s">
        <v>1083</v>
      </c>
      <c r="C480" s="2" t="s">
        <v>1086</v>
      </c>
      <c r="D480" s="2" t="s">
        <v>1087</v>
      </c>
      <c r="E480" s="3" t="s">
        <v>16</v>
      </c>
      <c r="F480" s="4" t="s">
        <v>17</v>
      </c>
      <c r="G480" s="2" t="s">
        <v>17</v>
      </c>
      <c r="H480" s="5" t="s">
        <v>18</v>
      </c>
      <c r="I480" s="2"/>
      <c r="J480" s="2"/>
      <c r="K480" s="2" t="s">
        <v>19</v>
      </c>
      <c r="L480" s="2"/>
    </row>
    <row r="481" spans="1:12" ht="39" x14ac:dyDescent="0.2">
      <c r="A481" s="2" t="s">
        <v>852</v>
      </c>
      <c r="B481" s="2" t="s">
        <v>1083</v>
      </c>
      <c r="C481" s="2" t="s">
        <v>1088</v>
      </c>
      <c r="D481" s="2" t="s">
        <v>1089</v>
      </c>
      <c r="E481" s="3" t="s">
        <v>16</v>
      </c>
      <c r="F481" s="4" t="s">
        <v>17</v>
      </c>
      <c r="G481" s="2" t="s">
        <v>17</v>
      </c>
      <c r="H481" s="5" t="s">
        <v>18</v>
      </c>
      <c r="I481" s="2"/>
      <c r="J481" s="2"/>
      <c r="K481" s="2" t="s">
        <v>19</v>
      </c>
      <c r="L481" s="2"/>
    </row>
    <row r="482" spans="1:12" ht="39" x14ac:dyDescent="0.2">
      <c r="A482" s="2" t="s">
        <v>852</v>
      </c>
      <c r="B482" s="2" t="s">
        <v>1083</v>
      </c>
      <c r="C482" s="2" t="s">
        <v>1090</v>
      </c>
      <c r="D482" s="2" t="s">
        <v>1091</v>
      </c>
      <c r="E482" s="3" t="s">
        <v>16</v>
      </c>
      <c r="F482" s="4" t="s">
        <v>17</v>
      </c>
      <c r="G482" s="2" t="s">
        <v>17</v>
      </c>
      <c r="H482" s="5" t="s">
        <v>18</v>
      </c>
      <c r="I482" s="2"/>
      <c r="J482" s="2"/>
      <c r="K482" s="2" t="s">
        <v>19</v>
      </c>
      <c r="L482" s="2"/>
    </row>
    <row r="483" spans="1:12" ht="39" x14ac:dyDescent="0.2">
      <c r="A483" s="2" t="s">
        <v>852</v>
      </c>
      <c r="B483" s="2" t="s">
        <v>1092</v>
      </c>
      <c r="C483" s="2" t="s">
        <v>1093</v>
      </c>
      <c r="D483" s="2" t="s">
        <v>1094</v>
      </c>
      <c r="E483" s="3" t="s">
        <v>16</v>
      </c>
      <c r="F483" s="4" t="s">
        <v>17</v>
      </c>
      <c r="G483" s="2" t="s">
        <v>17</v>
      </c>
      <c r="H483" s="5" t="s">
        <v>18</v>
      </c>
      <c r="I483" s="2"/>
      <c r="J483" s="2"/>
      <c r="K483" s="2" t="s">
        <v>19</v>
      </c>
      <c r="L483" s="2"/>
    </row>
    <row r="484" spans="1:12" ht="39" x14ac:dyDescent="0.2">
      <c r="A484" s="2" t="s">
        <v>852</v>
      </c>
      <c r="B484" s="2" t="s">
        <v>1092</v>
      </c>
      <c r="C484" s="2" t="s">
        <v>1095</v>
      </c>
      <c r="D484" s="2" t="s">
        <v>1096</v>
      </c>
      <c r="E484" s="3" t="s">
        <v>16</v>
      </c>
      <c r="F484" s="4" t="s">
        <v>17</v>
      </c>
      <c r="G484" s="2" t="s">
        <v>17</v>
      </c>
      <c r="H484" s="5" t="s">
        <v>18</v>
      </c>
      <c r="I484" s="2"/>
      <c r="J484" s="2"/>
      <c r="K484" s="2" t="s">
        <v>19</v>
      </c>
      <c r="L484" s="2"/>
    </row>
    <row r="485" spans="1:12" ht="52" x14ac:dyDescent="0.2">
      <c r="A485" s="2" t="s">
        <v>852</v>
      </c>
      <c r="B485" s="2" t="s">
        <v>1092</v>
      </c>
      <c r="C485" s="2" t="s">
        <v>1097</v>
      </c>
      <c r="D485" s="2" t="s">
        <v>1098</v>
      </c>
      <c r="E485" s="3" t="s">
        <v>16</v>
      </c>
      <c r="F485" s="4" t="s">
        <v>17</v>
      </c>
      <c r="G485" s="2" t="s">
        <v>17</v>
      </c>
      <c r="H485" s="5" t="s">
        <v>18</v>
      </c>
      <c r="I485" s="2"/>
      <c r="J485" s="2"/>
      <c r="K485" s="2" t="s">
        <v>19</v>
      </c>
      <c r="L485" s="2"/>
    </row>
    <row r="486" spans="1:12" ht="39" x14ac:dyDescent="0.2">
      <c r="A486" s="2" t="s">
        <v>852</v>
      </c>
      <c r="B486" s="2" t="s">
        <v>1092</v>
      </c>
      <c r="C486" s="2" t="s">
        <v>1099</v>
      </c>
      <c r="D486" s="2" t="s">
        <v>1100</v>
      </c>
      <c r="E486" s="3" t="s">
        <v>16</v>
      </c>
      <c r="F486" s="4" t="s">
        <v>17</v>
      </c>
      <c r="G486" s="2" t="s">
        <v>17</v>
      </c>
      <c r="H486" s="5" t="s">
        <v>18</v>
      </c>
      <c r="I486" s="2"/>
      <c r="J486" s="2"/>
      <c r="K486" s="2" t="s">
        <v>19</v>
      </c>
      <c r="L486" s="2"/>
    </row>
    <row r="487" spans="1:12" ht="39" x14ac:dyDescent="0.2">
      <c r="A487" s="2" t="s">
        <v>852</v>
      </c>
      <c r="B487" s="2" t="s">
        <v>1092</v>
      </c>
      <c r="C487" s="2" t="s">
        <v>1101</v>
      </c>
      <c r="D487" s="2" t="s">
        <v>1102</v>
      </c>
      <c r="E487" s="3" t="s">
        <v>16</v>
      </c>
      <c r="F487" s="4" t="s">
        <v>17</v>
      </c>
      <c r="G487" s="2" t="s">
        <v>17</v>
      </c>
      <c r="H487" s="5" t="s">
        <v>18</v>
      </c>
      <c r="I487" s="2"/>
      <c r="J487" s="2"/>
      <c r="K487" s="2" t="s">
        <v>19</v>
      </c>
      <c r="L487" s="2"/>
    </row>
    <row r="488" spans="1:12" ht="26" x14ac:dyDescent="0.2">
      <c r="A488" s="2" t="s">
        <v>852</v>
      </c>
      <c r="B488" s="2" t="s">
        <v>1092</v>
      </c>
      <c r="C488" s="2" t="s">
        <v>1103</v>
      </c>
      <c r="D488" s="2" t="s">
        <v>1104</v>
      </c>
      <c r="E488" s="3" t="s">
        <v>16</v>
      </c>
      <c r="F488" s="4" t="s">
        <v>17</v>
      </c>
      <c r="G488" s="2" t="s">
        <v>17</v>
      </c>
      <c r="H488" s="5" t="s">
        <v>18</v>
      </c>
      <c r="I488" s="2"/>
      <c r="J488" s="2"/>
      <c r="K488" s="2" t="s">
        <v>19</v>
      </c>
      <c r="L488" s="2"/>
    </row>
    <row r="489" spans="1:12" ht="52" x14ac:dyDescent="0.2">
      <c r="A489" s="2" t="s">
        <v>852</v>
      </c>
      <c r="B489" s="2" t="s">
        <v>1105</v>
      </c>
      <c r="C489" s="2" t="s">
        <v>1106</v>
      </c>
      <c r="D489" s="2" t="s">
        <v>1107</v>
      </c>
      <c r="E489" s="3" t="s">
        <v>16</v>
      </c>
      <c r="F489" s="4" t="s">
        <v>17</v>
      </c>
      <c r="G489" s="2" t="s">
        <v>17</v>
      </c>
      <c r="H489" s="5" t="s">
        <v>18</v>
      </c>
      <c r="I489" s="2"/>
      <c r="J489" s="2"/>
      <c r="K489" s="2" t="s">
        <v>19</v>
      </c>
      <c r="L489" s="2"/>
    </row>
    <row r="490" spans="1:12" ht="52" x14ac:dyDescent="0.2">
      <c r="A490" s="2" t="s">
        <v>852</v>
      </c>
      <c r="B490" s="2" t="s">
        <v>1105</v>
      </c>
      <c r="C490" s="2" t="s">
        <v>1108</v>
      </c>
      <c r="D490" s="2" t="s">
        <v>1109</v>
      </c>
      <c r="E490" s="3" t="s">
        <v>16</v>
      </c>
      <c r="F490" s="4" t="s">
        <v>17</v>
      </c>
      <c r="G490" s="2" t="s">
        <v>17</v>
      </c>
      <c r="H490" s="5" t="s">
        <v>18</v>
      </c>
      <c r="I490" s="2"/>
      <c r="J490" s="2"/>
      <c r="K490" s="2" t="s">
        <v>19</v>
      </c>
      <c r="L490" s="2"/>
    </row>
    <row r="491" spans="1:12" ht="39" x14ac:dyDescent="0.2">
      <c r="A491" s="2" t="s">
        <v>852</v>
      </c>
      <c r="B491" s="2" t="s">
        <v>1105</v>
      </c>
      <c r="C491" s="2" t="s">
        <v>1110</v>
      </c>
      <c r="D491" s="2" t="s">
        <v>1111</v>
      </c>
      <c r="E491" s="3" t="s">
        <v>16</v>
      </c>
      <c r="F491" s="4" t="s">
        <v>17</v>
      </c>
      <c r="G491" s="2" t="s">
        <v>17</v>
      </c>
      <c r="H491" s="5" t="s">
        <v>18</v>
      </c>
      <c r="I491" s="2"/>
      <c r="J491" s="2"/>
      <c r="K491" s="2" t="s">
        <v>19</v>
      </c>
      <c r="L491" s="2"/>
    </row>
    <row r="492" spans="1:12" ht="39" x14ac:dyDescent="0.2">
      <c r="A492" s="2" t="s">
        <v>852</v>
      </c>
      <c r="B492" s="2" t="s">
        <v>1105</v>
      </c>
      <c r="C492" s="2" t="s">
        <v>1112</v>
      </c>
      <c r="D492" s="2" t="s">
        <v>1113</v>
      </c>
      <c r="E492" s="3" t="s">
        <v>16</v>
      </c>
      <c r="F492" s="4" t="s">
        <v>17</v>
      </c>
      <c r="G492" s="2" t="s">
        <v>17</v>
      </c>
      <c r="H492" s="5" t="s">
        <v>18</v>
      </c>
      <c r="I492" s="2"/>
      <c r="J492" s="2"/>
      <c r="K492" s="2" t="s">
        <v>19</v>
      </c>
      <c r="L492" s="2"/>
    </row>
    <row r="493" spans="1:12" ht="39" x14ac:dyDescent="0.2">
      <c r="A493" s="2" t="s">
        <v>852</v>
      </c>
      <c r="B493" s="2" t="s">
        <v>1105</v>
      </c>
      <c r="C493" s="2" t="s">
        <v>1114</v>
      </c>
      <c r="D493" s="2" t="s">
        <v>1115</v>
      </c>
      <c r="E493" s="3" t="s">
        <v>16</v>
      </c>
      <c r="F493" s="4" t="s">
        <v>17</v>
      </c>
      <c r="G493" s="2" t="s">
        <v>17</v>
      </c>
      <c r="H493" s="5" t="s">
        <v>18</v>
      </c>
      <c r="I493" s="2"/>
      <c r="J493" s="2"/>
      <c r="K493" s="2" t="s">
        <v>19</v>
      </c>
      <c r="L493" s="2"/>
    </row>
    <row r="494" spans="1:12" ht="52" x14ac:dyDescent="0.2">
      <c r="A494" s="2" t="s">
        <v>852</v>
      </c>
      <c r="B494" s="2" t="s">
        <v>1105</v>
      </c>
      <c r="C494" s="2" t="s">
        <v>1116</v>
      </c>
      <c r="D494" s="2" t="s">
        <v>1117</v>
      </c>
      <c r="E494" s="3" t="s">
        <v>16</v>
      </c>
      <c r="F494" s="4" t="s">
        <v>17</v>
      </c>
      <c r="G494" s="2" t="s">
        <v>17</v>
      </c>
      <c r="H494" s="5" t="s">
        <v>18</v>
      </c>
      <c r="I494" s="2"/>
      <c r="J494" s="2"/>
      <c r="K494" s="2" t="s">
        <v>19</v>
      </c>
      <c r="L494" s="2"/>
    </row>
    <row r="495" spans="1:12" ht="39" x14ac:dyDescent="0.2">
      <c r="A495" s="2" t="s">
        <v>1118</v>
      </c>
      <c r="B495" s="2" t="s">
        <v>1119</v>
      </c>
      <c r="C495" s="2" t="s">
        <v>1120</v>
      </c>
      <c r="D495" s="2" t="s">
        <v>1121</v>
      </c>
      <c r="E495" s="3" t="s">
        <v>16</v>
      </c>
      <c r="F495" s="4" t="s">
        <v>17</v>
      </c>
      <c r="G495" s="2" t="s">
        <v>17</v>
      </c>
      <c r="H495" s="5" t="s">
        <v>18</v>
      </c>
      <c r="I495" s="2"/>
      <c r="J495" s="2"/>
      <c r="K495" s="2" t="s">
        <v>19</v>
      </c>
      <c r="L495" s="2"/>
    </row>
    <row r="496" spans="1:12" ht="39" x14ac:dyDescent="0.2">
      <c r="A496" s="2" t="s">
        <v>1118</v>
      </c>
      <c r="B496" s="2" t="s">
        <v>1119</v>
      </c>
      <c r="C496" s="2" t="s">
        <v>1122</v>
      </c>
      <c r="D496" s="2" t="s">
        <v>1123</v>
      </c>
      <c r="E496" s="3" t="s">
        <v>16</v>
      </c>
      <c r="F496" s="4" t="s">
        <v>17</v>
      </c>
      <c r="G496" s="2" t="s">
        <v>17</v>
      </c>
      <c r="H496" s="5" t="s">
        <v>18</v>
      </c>
      <c r="I496" s="2"/>
      <c r="J496" s="2"/>
      <c r="K496" s="2" t="s">
        <v>19</v>
      </c>
      <c r="L496" s="2"/>
    </row>
    <row r="497" spans="1:12" ht="39" x14ac:dyDescent="0.2">
      <c r="A497" s="2" t="s">
        <v>1118</v>
      </c>
      <c r="B497" s="2" t="s">
        <v>1119</v>
      </c>
      <c r="C497" s="2" t="s">
        <v>1124</v>
      </c>
      <c r="D497" s="2" t="s">
        <v>1125</v>
      </c>
      <c r="E497" s="3" t="s">
        <v>16</v>
      </c>
      <c r="F497" s="4" t="s">
        <v>17</v>
      </c>
      <c r="G497" s="2" t="s">
        <v>17</v>
      </c>
      <c r="H497" s="5" t="s">
        <v>18</v>
      </c>
      <c r="I497" s="2"/>
      <c r="J497" s="2"/>
      <c r="K497" s="2" t="s">
        <v>19</v>
      </c>
      <c r="L497" s="2"/>
    </row>
    <row r="498" spans="1:12" ht="39" x14ac:dyDescent="0.2">
      <c r="A498" s="2" t="s">
        <v>1118</v>
      </c>
      <c r="B498" s="2" t="s">
        <v>1119</v>
      </c>
      <c r="C498" s="2" t="s">
        <v>1126</v>
      </c>
      <c r="D498" s="2" t="s">
        <v>1127</v>
      </c>
      <c r="E498" s="3" t="s">
        <v>16</v>
      </c>
      <c r="F498" s="4" t="s">
        <v>17</v>
      </c>
      <c r="G498" s="2" t="s">
        <v>17</v>
      </c>
      <c r="H498" s="5" t="s">
        <v>18</v>
      </c>
      <c r="I498" s="2"/>
      <c r="J498" s="2"/>
      <c r="K498" s="2" t="s">
        <v>19</v>
      </c>
      <c r="L498" s="2"/>
    </row>
    <row r="499" spans="1:12" ht="26" x14ac:dyDescent="0.2">
      <c r="A499" s="2" t="s">
        <v>1118</v>
      </c>
      <c r="B499" s="2" t="s">
        <v>1119</v>
      </c>
      <c r="C499" s="2" t="s">
        <v>1128</v>
      </c>
      <c r="D499" s="2" t="s">
        <v>1129</v>
      </c>
      <c r="E499" s="3" t="s">
        <v>16</v>
      </c>
      <c r="F499" s="4" t="s">
        <v>17</v>
      </c>
      <c r="G499" s="2" t="s">
        <v>17</v>
      </c>
      <c r="H499" s="5" t="s">
        <v>18</v>
      </c>
      <c r="I499" s="2"/>
      <c r="J499" s="2"/>
      <c r="K499" s="2" t="s">
        <v>19</v>
      </c>
      <c r="L499" s="2"/>
    </row>
    <row r="500" spans="1:12" ht="26" x14ac:dyDescent="0.2">
      <c r="A500" s="2" t="s">
        <v>1118</v>
      </c>
      <c r="B500" s="2" t="s">
        <v>1119</v>
      </c>
      <c r="C500" s="2" t="s">
        <v>1130</v>
      </c>
      <c r="D500" s="2" t="s">
        <v>1131</v>
      </c>
      <c r="E500" s="3" t="s">
        <v>16</v>
      </c>
      <c r="F500" s="4" t="s">
        <v>17</v>
      </c>
      <c r="G500" s="2" t="s">
        <v>17</v>
      </c>
      <c r="H500" s="5" t="s">
        <v>18</v>
      </c>
      <c r="I500" s="2"/>
      <c r="J500" s="2"/>
      <c r="K500" s="2" t="s">
        <v>19</v>
      </c>
      <c r="L500" s="2"/>
    </row>
    <row r="501" spans="1:12" ht="39" x14ac:dyDescent="0.2">
      <c r="A501" s="2" t="s">
        <v>1118</v>
      </c>
      <c r="B501" s="2" t="s">
        <v>1119</v>
      </c>
      <c r="C501" s="2" t="s">
        <v>1132</v>
      </c>
      <c r="D501" s="2" t="s">
        <v>1133</v>
      </c>
      <c r="E501" s="3" t="s">
        <v>16</v>
      </c>
      <c r="F501" s="4" t="s">
        <v>17</v>
      </c>
      <c r="G501" s="2" t="s">
        <v>17</v>
      </c>
      <c r="H501" s="5" t="s">
        <v>18</v>
      </c>
      <c r="I501" s="2"/>
      <c r="J501" s="2"/>
      <c r="K501" s="2" t="s">
        <v>19</v>
      </c>
      <c r="L501" s="2"/>
    </row>
    <row r="502" spans="1:12" ht="39" x14ac:dyDescent="0.2">
      <c r="A502" s="2" t="s">
        <v>1118</v>
      </c>
      <c r="B502" s="2" t="s">
        <v>1119</v>
      </c>
      <c r="C502" s="2" t="s">
        <v>1134</v>
      </c>
      <c r="D502" s="2" t="s">
        <v>1135</v>
      </c>
      <c r="E502" s="3" t="s">
        <v>16</v>
      </c>
      <c r="F502" s="4" t="s">
        <v>17</v>
      </c>
      <c r="G502" s="2" t="s">
        <v>17</v>
      </c>
      <c r="H502" s="5" t="s">
        <v>18</v>
      </c>
      <c r="I502" s="2"/>
      <c r="J502" s="2"/>
      <c r="K502" s="2" t="s">
        <v>19</v>
      </c>
      <c r="L502" s="2"/>
    </row>
    <row r="503" spans="1:12" ht="52" x14ac:dyDescent="0.2">
      <c r="A503" s="2" t="s">
        <v>1118</v>
      </c>
      <c r="B503" s="2" t="s">
        <v>1136</v>
      </c>
      <c r="C503" s="2" t="s">
        <v>1137</v>
      </c>
      <c r="D503" s="2" t="s">
        <v>1138</v>
      </c>
      <c r="E503" s="3" t="s">
        <v>16</v>
      </c>
      <c r="F503" s="4" t="s">
        <v>17</v>
      </c>
      <c r="G503" s="2" t="s">
        <v>17</v>
      </c>
      <c r="H503" s="5" t="s">
        <v>18</v>
      </c>
      <c r="I503" s="2"/>
      <c r="J503" s="2"/>
      <c r="K503" s="2" t="s">
        <v>19</v>
      </c>
      <c r="L503" s="2"/>
    </row>
    <row r="504" spans="1:12" ht="39" x14ac:dyDescent="0.2">
      <c r="A504" s="2" t="s">
        <v>1118</v>
      </c>
      <c r="B504" s="2" t="s">
        <v>1136</v>
      </c>
      <c r="C504" s="2" t="s">
        <v>1139</v>
      </c>
      <c r="D504" s="2" t="s">
        <v>1140</v>
      </c>
      <c r="E504" s="3" t="s">
        <v>16</v>
      </c>
      <c r="F504" s="4" t="s">
        <v>17</v>
      </c>
      <c r="G504" s="2" t="s">
        <v>17</v>
      </c>
      <c r="H504" s="5" t="s">
        <v>18</v>
      </c>
      <c r="I504" s="2"/>
      <c r="J504" s="2"/>
      <c r="K504" s="2" t="s">
        <v>19</v>
      </c>
      <c r="L504" s="2"/>
    </row>
    <row r="505" spans="1:12" ht="65" x14ac:dyDescent="0.2">
      <c r="A505" s="2" t="s">
        <v>1118</v>
      </c>
      <c r="B505" s="2" t="s">
        <v>1136</v>
      </c>
      <c r="C505" s="2" t="s">
        <v>1141</v>
      </c>
      <c r="D505" s="2" t="s">
        <v>1142</v>
      </c>
      <c r="E505" s="3" t="s">
        <v>16</v>
      </c>
      <c r="F505" s="4" t="s">
        <v>17</v>
      </c>
      <c r="G505" s="2" t="s">
        <v>17</v>
      </c>
      <c r="H505" s="5" t="s">
        <v>18</v>
      </c>
      <c r="I505" s="2"/>
      <c r="J505" s="2"/>
      <c r="K505" s="2" t="s">
        <v>19</v>
      </c>
      <c r="L505" s="2"/>
    </row>
    <row r="506" spans="1:12" ht="39" x14ac:dyDescent="0.2">
      <c r="A506" s="2" t="s">
        <v>1118</v>
      </c>
      <c r="B506" s="2" t="s">
        <v>1136</v>
      </c>
      <c r="C506" s="2" t="s">
        <v>1143</v>
      </c>
      <c r="D506" s="2" t="s">
        <v>1144</v>
      </c>
      <c r="E506" s="3" t="s">
        <v>16</v>
      </c>
      <c r="F506" s="4" t="s">
        <v>17</v>
      </c>
      <c r="G506" s="2" t="s">
        <v>17</v>
      </c>
      <c r="H506" s="5" t="s">
        <v>18</v>
      </c>
      <c r="I506" s="2"/>
      <c r="J506" s="2"/>
      <c r="K506" s="2" t="s">
        <v>19</v>
      </c>
      <c r="L506" s="2"/>
    </row>
    <row r="507" spans="1:12" ht="39" x14ac:dyDescent="0.2">
      <c r="A507" s="2" t="s">
        <v>1118</v>
      </c>
      <c r="B507" s="2" t="s">
        <v>1136</v>
      </c>
      <c r="C507" s="2" t="s">
        <v>1145</v>
      </c>
      <c r="D507" s="2" t="s">
        <v>1146</v>
      </c>
      <c r="E507" s="3" t="s">
        <v>16</v>
      </c>
      <c r="F507" s="4" t="s">
        <v>17</v>
      </c>
      <c r="G507" s="2" t="s">
        <v>17</v>
      </c>
      <c r="H507" s="5" t="s">
        <v>18</v>
      </c>
      <c r="I507" s="2"/>
      <c r="J507" s="2"/>
      <c r="K507" s="2" t="s">
        <v>19</v>
      </c>
      <c r="L507" s="2"/>
    </row>
    <row r="508" spans="1:12" ht="39" x14ac:dyDescent="0.2">
      <c r="A508" s="2" t="s">
        <v>1118</v>
      </c>
      <c r="B508" s="2" t="s">
        <v>1136</v>
      </c>
      <c r="C508" s="2" t="s">
        <v>1147</v>
      </c>
      <c r="D508" s="2" t="s">
        <v>1148</v>
      </c>
      <c r="E508" s="3" t="s">
        <v>16</v>
      </c>
      <c r="F508" s="4" t="s">
        <v>17</v>
      </c>
      <c r="G508" s="2" t="s">
        <v>17</v>
      </c>
      <c r="H508" s="5" t="s">
        <v>18</v>
      </c>
      <c r="I508" s="2"/>
      <c r="J508" s="2"/>
      <c r="K508" s="2" t="s">
        <v>19</v>
      </c>
      <c r="L508" s="2"/>
    </row>
    <row r="509" spans="1:12" ht="39" x14ac:dyDescent="0.2">
      <c r="A509" s="2" t="s">
        <v>1118</v>
      </c>
      <c r="B509" s="2" t="s">
        <v>1136</v>
      </c>
      <c r="C509" s="2" t="s">
        <v>1149</v>
      </c>
      <c r="D509" s="2" t="s">
        <v>1150</v>
      </c>
      <c r="E509" s="3" t="s">
        <v>16</v>
      </c>
      <c r="F509" s="4" t="s">
        <v>17</v>
      </c>
      <c r="G509" s="2" t="s">
        <v>17</v>
      </c>
      <c r="H509" s="5" t="s">
        <v>18</v>
      </c>
      <c r="I509" s="2"/>
      <c r="J509" s="2"/>
      <c r="K509" s="2" t="s">
        <v>19</v>
      </c>
      <c r="L509" s="2"/>
    </row>
    <row r="510" spans="1:12" ht="39" x14ac:dyDescent="0.2">
      <c r="A510" s="2" t="s">
        <v>1118</v>
      </c>
      <c r="B510" s="2" t="s">
        <v>1136</v>
      </c>
      <c r="C510" s="2" t="s">
        <v>1151</v>
      </c>
      <c r="D510" s="2" t="s">
        <v>1152</v>
      </c>
      <c r="E510" s="3" t="s">
        <v>16</v>
      </c>
      <c r="F510" s="4" t="s">
        <v>17</v>
      </c>
      <c r="G510" s="2" t="s">
        <v>17</v>
      </c>
      <c r="H510" s="5" t="s">
        <v>18</v>
      </c>
      <c r="I510" s="2"/>
      <c r="J510" s="2"/>
      <c r="K510" s="2" t="s">
        <v>19</v>
      </c>
      <c r="L510" s="2"/>
    </row>
    <row r="511" spans="1:12" ht="39" x14ac:dyDescent="0.2">
      <c r="A511" s="2" t="s">
        <v>1118</v>
      </c>
      <c r="B511" s="2" t="s">
        <v>1153</v>
      </c>
      <c r="C511" s="2" t="s">
        <v>1154</v>
      </c>
      <c r="D511" s="2" t="s">
        <v>1155</v>
      </c>
      <c r="E511" s="3" t="s">
        <v>16</v>
      </c>
      <c r="F511" s="4" t="s">
        <v>17</v>
      </c>
      <c r="G511" s="2" t="s">
        <v>17</v>
      </c>
      <c r="H511" s="5" t="s">
        <v>18</v>
      </c>
      <c r="I511" s="2"/>
      <c r="J511" s="2"/>
      <c r="K511" s="2" t="s">
        <v>19</v>
      </c>
      <c r="L511" s="2"/>
    </row>
    <row r="512" spans="1:12" ht="78" x14ac:dyDescent="0.2">
      <c r="A512" s="2" t="s">
        <v>1118</v>
      </c>
      <c r="B512" s="2" t="s">
        <v>1153</v>
      </c>
      <c r="C512" s="2" t="s">
        <v>1156</v>
      </c>
      <c r="D512" s="2" t="s">
        <v>1157</v>
      </c>
      <c r="E512" s="3" t="s">
        <v>16</v>
      </c>
      <c r="F512" s="4" t="s">
        <v>17</v>
      </c>
      <c r="G512" s="2" t="s">
        <v>17</v>
      </c>
      <c r="H512" s="5" t="s">
        <v>18</v>
      </c>
      <c r="I512" s="2"/>
      <c r="J512" s="2"/>
      <c r="K512" s="2" t="s">
        <v>19</v>
      </c>
      <c r="L512" s="2"/>
    </row>
    <row r="513" spans="1:12" ht="39" x14ac:dyDescent="0.2">
      <c r="A513" s="2" t="s">
        <v>1118</v>
      </c>
      <c r="B513" s="2" t="s">
        <v>1153</v>
      </c>
      <c r="C513" s="2" t="s">
        <v>1158</v>
      </c>
      <c r="D513" s="2" t="s">
        <v>1159</v>
      </c>
      <c r="E513" s="3" t="s">
        <v>16</v>
      </c>
      <c r="F513" s="4" t="s">
        <v>17</v>
      </c>
      <c r="G513" s="2" t="s">
        <v>17</v>
      </c>
      <c r="H513" s="5" t="s">
        <v>18</v>
      </c>
      <c r="I513" s="2"/>
      <c r="J513" s="2"/>
      <c r="K513" s="2" t="s">
        <v>19</v>
      </c>
      <c r="L513" s="2"/>
    </row>
    <row r="514" spans="1:12" ht="39" x14ac:dyDescent="0.2">
      <c r="A514" s="2" t="s">
        <v>1118</v>
      </c>
      <c r="B514" s="2" t="s">
        <v>1153</v>
      </c>
      <c r="C514" s="2" t="s">
        <v>1160</v>
      </c>
      <c r="D514" s="2" t="s">
        <v>1161</v>
      </c>
      <c r="E514" s="3" t="s">
        <v>16</v>
      </c>
      <c r="F514" s="4" t="s">
        <v>17</v>
      </c>
      <c r="G514" s="2" t="s">
        <v>17</v>
      </c>
      <c r="H514" s="5" t="s">
        <v>18</v>
      </c>
      <c r="I514" s="2"/>
      <c r="J514" s="2"/>
      <c r="K514" s="2" t="s">
        <v>19</v>
      </c>
      <c r="L514" s="2"/>
    </row>
    <row r="515" spans="1:12" ht="39" x14ac:dyDescent="0.2">
      <c r="A515" s="2" t="s">
        <v>1118</v>
      </c>
      <c r="B515" s="2" t="s">
        <v>1153</v>
      </c>
      <c r="C515" s="2" t="s">
        <v>1162</v>
      </c>
      <c r="D515" s="2" t="s">
        <v>1163</v>
      </c>
      <c r="E515" s="3" t="s">
        <v>16</v>
      </c>
      <c r="F515" s="4" t="s">
        <v>17</v>
      </c>
      <c r="G515" s="2" t="s">
        <v>17</v>
      </c>
      <c r="H515" s="5" t="s">
        <v>18</v>
      </c>
      <c r="I515" s="2"/>
      <c r="J515" s="2"/>
      <c r="K515" s="2" t="s">
        <v>19</v>
      </c>
      <c r="L515" s="2"/>
    </row>
    <row r="516" spans="1:12" ht="39" x14ac:dyDescent="0.2">
      <c r="A516" s="2" t="s">
        <v>1118</v>
      </c>
      <c r="B516" s="2" t="s">
        <v>1153</v>
      </c>
      <c r="C516" s="2" t="s">
        <v>1164</v>
      </c>
      <c r="D516" s="2" t="s">
        <v>1165</v>
      </c>
      <c r="E516" s="3" t="s">
        <v>16</v>
      </c>
      <c r="F516" s="4" t="s">
        <v>17</v>
      </c>
      <c r="G516" s="2" t="s">
        <v>17</v>
      </c>
      <c r="H516" s="5" t="s">
        <v>18</v>
      </c>
      <c r="I516" s="2"/>
      <c r="J516" s="2"/>
      <c r="K516" s="2" t="s">
        <v>19</v>
      </c>
      <c r="L516" s="2"/>
    </row>
    <row r="517" spans="1:12" ht="39" x14ac:dyDescent="0.2">
      <c r="A517" s="2" t="s">
        <v>1118</v>
      </c>
      <c r="B517" s="2" t="s">
        <v>1153</v>
      </c>
      <c r="C517" s="2" t="s">
        <v>1166</v>
      </c>
      <c r="D517" s="2" t="s">
        <v>1167</v>
      </c>
      <c r="E517" s="3" t="s">
        <v>16</v>
      </c>
      <c r="F517" s="4" t="s">
        <v>17</v>
      </c>
      <c r="G517" s="2" t="s">
        <v>17</v>
      </c>
      <c r="H517" s="5" t="s">
        <v>18</v>
      </c>
      <c r="I517" s="2"/>
      <c r="J517" s="2"/>
      <c r="K517" s="2" t="s">
        <v>19</v>
      </c>
      <c r="L517" s="2"/>
    </row>
    <row r="518" spans="1:12" ht="39" x14ac:dyDescent="0.2">
      <c r="A518" s="2" t="s">
        <v>1118</v>
      </c>
      <c r="B518" s="2" t="s">
        <v>1153</v>
      </c>
      <c r="C518" s="2" t="s">
        <v>1168</v>
      </c>
      <c r="D518" s="2" t="s">
        <v>1169</v>
      </c>
      <c r="E518" s="3" t="s">
        <v>16</v>
      </c>
      <c r="F518" s="4" t="s">
        <v>17</v>
      </c>
      <c r="G518" s="2" t="s">
        <v>17</v>
      </c>
      <c r="H518" s="5" t="s">
        <v>18</v>
      </c>
      <c r="I518" s="2"/>
      <c r="J518" s="2"/>
      <c r="K518" s="2" t="s">
        <v>19</v>
      </c>
      <c r="L518" s="2"/>
    </row>
    <row r="519" spans="1:12" ht="39" x14ac:dyDescent="0.2">
      <c r="A519" s="2" t="s">
        <v>1118</v>
      </c>
      <c r="B519" s="2" t="s">
        <v>1170</v>
      </c>
      <c r="C519" s="2" t="s">
        <v>1171</v>
      </c>
      <c r="D519" s="2" t="s">
        <v>1172</v>
      </c>
      <c r="E519" s="3" t="s">
        <v>16</v>
      </c>
      <c r="F519" s="4" t="s">
        <v>17</v>
      </c>
      <c r="G519" s="2" t="s">
        <v>17</v>
      </c>
      <c r="H519" s="5" t="s">
        <v>18</v>
      </c>
      <c r="I519" s="2"/>
      <c r="J519" s="2"/>
      <c r="K519" s="2" t="s">
        <v>19</v>
      </c>
      <c r="L519" s="2"/>
    </row>
    <row r="520" spans="1:12" ht="65" x14ac:dyDescent="0.2">
      <c r="A520" s="2" t="s">
        <v>1118</v>
      </c>
      <c r="B520" s="2" t="s">
        <v>1170</v>
      </c>
      <c r="C520" s="2" t="s">
        <v>1173</v>
      </c>
      <c r="D520" s="2" t="s">
        <v>1174</v>
      </c>
      <c r="E520" s="3" t="s">
        <v>16</v>
      </c>
      <c r="F520" s="4" t="s">
        <v>17</v>
      </c>
      <c r="G520" s="2" t="s">
        <v>17</v>
      </c>
      <c r="H520" s="5" t="s">
        <v>18</v>
      </c>
      <c r="I520" s="2"/>
      <c r="J520" s="2"/>
      <c r="K520" s="2" t="s">
        <v>19</v>
      </c>
      <c r="L520" s="2"/>
    </row>
    <row r="521" spans="1:12" ht="39" x14ac:dyDescent="0.2">
      <c r="A521" s="2" t="s">
        <v>1118</v>
      </c>
      <c r="B521" s="2" t="s">
        <v>1170</v>
      </c>
      <c r="C521" s="2" t="s">
        <v>1175</v>
      </c>
      <c r="D521" s="2" t="s">
        <v>1176</v>
      </c>
      <c r="E521" s="3" t="s">
        <v>16</v>
      </c>
      <c r="F521" s="4" t="s">
        <v>17</v>
      </c>
      <c r="G521" s="2" t="s">
        <v>17</v>
      </c>
      <c r="H521" s="5" t="s">
        <v>18</v>
      </c>
      <c r="I521" s="2"/>
      <c r="J521" s="2"/>
      <c r="K521" s="2" t="s">
        <v>19</v>
      </c>
      <c r="L521" s="2"/>
    </row>
    <row r="522" spans="1:12" ht="78" x14ac:dyDescent="0.2">
      <c r="A522" s="2" t="s">
        <v>1118</v>
      </c>
      <c r="B522" s="2" t="s">
        <v>1170</v>
      </c>
      <c r="C522" s="2" t="s">
        <v>1177</v>
      </c>
      <c r="D522" s="2" t="s">
        <v>1178</v>
      </c>
      <c r="E522" s="3" t="s">
        <v>16</v>
      </c>
      <c r="F522" s="4" t="s">
        <v>17</v>
      </c>
      <c r="G522" s="2" t="s">
        <v>17</v>
      </c>
      <c r="H522" s="5" t="s">
        <v>18</v>
      </c>
      <c r="I522" s="2"/>
      <c r="J522" s="2"/>
      <c r="K522" s="2" t="s">
        <v>19</v>
      </c>
      <c r="L522" s="2"/>
    </row>
    <row r="523" spans="1:12" ht="52" x14ac:dyDescent="0.2">
      <c r="A523" s="2" t="s">
        <v>1118</v>
      </c>
      <c r="B523" s="2" t="s">
        <v>1170</v>
      </c>
      <c r="C523" s="2" t="s">
        <v>1179</v>
      </c>
      <c r="D523" s="2" t="s">
        <v>1180</v>
      </c>
      <c r="E523" s="3" t="s">
        <v>16</v>
      </c>
      <c r="F523" s="4" t="s">
        <v>17</v>
      </c>
      <c r="G523" s="2" t="s">
        <v>17</v>
      </c>
      <c r="H523" s="5" t="s">
        <v>18</v>
      </c>
      <c r="I523" s="2"/>
      <c r="J523" s="2"/>
      <c r="K523" s="2" t="s">
        <v>19</v>
      </c>
      <c r="L523" s="2"/>
    </row>
    <row r="524" spans="1:12" ht="39" x14ac:dyDescent="0.2">
      <c r="A524" s="2" t="s">
        <v>1118</v>
      </c>
      <c r="B524" s="2" t="s">
        <v>1170</v>
      </c>
      <c r="C524" s="2" t="s">
        <v>1181</v>
      </c>
      <c r="D524" s="2" t="s">
        <v>1182</v>
      </c>
      <c r="E524" s="3" t="s">
        <v>16</v>
      </c>
      <c r="F524" s="4" t="s">
        <v>17</v>
      </c>
      <c r="G524" s="2" t="s">
        <v>17</v>
      </c>
      <c r="H524" s="5" t="s">
        <v>18</v>
      </c>
      <c r="I524" s="2"/>
      <c r="J524" s="2"/>
      <c r="K524" s="2" t="s">
        <v>19</v>
      </c>
      <c r="L524" s="2"/>
    </row>
    <row r="525" spans="1:12" ht="39" x14ac:dyDescent="0.2">
      <c r="A525" s="2" t="s">
        <v>1118</v>
      </c>
      <c r="B525" s="2" t="s">
        <v>1170</v>
      </c>
      <c r="C525" s="2" t="s">
        <v>1183</v>
      </c>
      <c r="D525" s="2" t="s">
        <v>1184</v>
      </c>
      <c r="E525" s="3" t="s">
        <v>16</v>
      </c>
      <c r="F525" s="4" t="s">
        <v>17</v>
      </c>
      <c r="G525" s="2" t="s">
        <v>17</v>
      </c>
      <c r="H525" s="5" t="s">
        <v>18</v>
      </c>
      <c r="I525" s="2"/>
      <c r="J525" s="2"/>
      <c r="K525" s="2" t="s">
        <v>19</v>
      </c>
      <c r="L525" s="2"/>
    </row>
    <row r="526" spans="1:12" ht="65" x14ac:dyDescent="0.2">
      <c r="A526" s="2" t="s">
        <v>1118</v>
      </c>
      <c r="B526" s="2" t="s">
        <v>1170</v>
      </c>
      <c r="C526" s="2" t="s">
        <v>1185</v>
      </c>
      <c r="D526" s="2" t="s">
        <v>1186</v>
      </c>
      <c r="E526" s="3" t="s">
        <v>16</v>
      </c>
      <c r="F526" s="4" t="s">
        <v>17</v>
      </c>
      <c r="G526" s="2" t="s">
        <v>17</v>
      </c>
      <c r="H526" s="5" t="s">
        <v>18</v>
      </c>
      <c r="I526" s="2"/>
      <c r="J526" s="2"/>
      <c r="K526" s="2" t="s">
        <v>19</v>
      </c>
      <c r="L526" s="2"/>
    </row>
    <row r="527" spans="1:12" ht="39" x14ac:dyDescent="0.2">
      <c r="A527" s="2" t="s">
        <v>1118</v>
      </c>
      <c r="B527" s="2" t="s">
        <v>1170</v>
      </c>
      <c r="C527" s="2" t="s">
        <v>1187</v>
      </c>
      <c r="D527" s="2" t="s">
        <v>1188</v>
      </c>
      <c r="E527" s="3" t="s">
        <v>16</v>
      </c>
      <c r="F527" s="4" t="s">
        <v>17</v>
      </c>
      <c r="G527" s="2" t="s">
        <v>17</v>
      </c>
      <c r="H527" s="5" t="s">
        <v>18</v>
      </c>
      <c r="I527" s="2"/>
      <c r="J527" s="2"/>
      <c r="K527" s="2" t="s">
        <v>19</v>
      </c>
      <c r="L527" s="2"/>
    </row>
    <row r="528" spans="1:12" ht="39" x14ac:dyDescent="0.2">
      <c r="A528" s="2" t="s">
        <v>1118</v>
      </c>
      <c r="B528" s="2" t="s">
        <v>1170</v>
      </c>
      <c r="C528" s="2" t="s">
        <v>1189</v>
      </c>
      <c r="D528" s="2" t="s">
        <v>1190</v>
      </c>
      <c r="E528" s="3" t="s">
        <v>16</v>
      </c>
      <c r="F528" s="4" t="s">
        <v>17</v>
      </c>
      <c r="G528" s="2" t="s">
        <v>17</v>
      </c>
      <c r="H528" s="5" t="s">
        <v>18</v>
      </c>
      <c r="I528" s="2"/>
      <c r="J528" s="2"/>
      <c r="K528" s="2" t="s">
        <v>19</v>
      </c>
      <c r="L528" s="2"/>
    </row>
    <row r="529" spans="1:12" ht="26" x14ac:dyDescent="0.2">
      <c r="A529" s="2" t="s">
        <v>1118</v>
      </c>
      <c r="B529" s="2" t="s">
        <v>1170</v>
      </c>
      <c r="C529" s="2" t="s">
        <v>1191</v>
      </c>
      <c r="D529" s="2" t="s">
        <v>1192</v>
      </c>
      <c r="E529" s="3" t="s">
        <v>16</v>
      </c>
      <c r="F529" s="4" t="s">
        <v>17</v>
      </c>
      <c r="G529" s="2" t="s">
        <v>17</v>
      </c>
      <c r="H529" s="5" t="s">
        <v>18</v>
      </c>
      <c r="I529" s="2"/>
      <c r="J529" s="2"/>
      <c r="K529" s="2" t="s">
        <v>19</v>
      </c>
      <c r="L529" s="2"/>
    </row>
    <row r="530" spans="1:12" ht="39" x14ac:dyDescent="0.2">
      <c r="A530" s="2" t="s">
        <v>1118</v>
      </c>
      <c r="B530" s="2" t="s">
        <v>1170</v>
      </c>
      <c r="C530" s="2" t="s">
        <v>1193</v>
      </c>
      <c r="D530" s="2" t="s">
        <v>1194</v>
      </c>
      <c r="E530" s="3" t="s">
        <v>16</v>
      </c>
      <c r="F530" s="4" t="s">
        <v>17</v>
      </c>
      <c r="G530" s="2" t="s">
        <v>17</v>
      </c>
      <c r="H530" s="5" t="s">
        <v>18</v>
      </c>
      <c r="I530" s="2"/>
      <c r="J530" s="2"/>
      <c r="K530" s="2" t="s">
        <v>19</v>
      </c>
      <c r="L530" s="2"/>
    </row>
    <row r="531" spans="1:12" ht="39" x14ac:dyDescent="0.2">
      <c r="A531" s="2" t="s">
        <v>1118</v>
      </c>
      <c r="B531" s="2" t="s">
        <v>1195</v>
      </c>
      <c r="C531" s="2" t="s">
        <v>1196</v>
      </c>
      <c r="D531" s="2" t="s">
        <v>1197</v>
      </c>
      <c r="E531" s="3" t="s">
        <v>16</v>
      </c>
      <c r="F531" s="4" t="s">
        <v>17</v>
      </c>
      <c r="G531" s="2" t="s">
        <v>17</v>
      </c>
      <c r="H531" s="5" t="s">
        <v>18</v>
      </c>
      <c r="I531" s="2"/>
      <c r="J531" s="2"/>
      <c r="K531" s="2" t="s">
        <v>19</v>
      </c>
      <c r="L531" s="2"/>
    </row>
    <row r="532" spans="1:12" ht="65" x14ac:dyDescent="0.2">
      <c r="A532" s="2" t="s">
        <v>1118</v>
      </c>
      <c r="B532" s="2" t="s">
        <v>1195</v>
      </c>
      <c r="C532" s="2" t="s">
        <v>1198</v>
      </c>
      <c r="D532" s="2" t="s">
        <v>1199</v>
      </c>
      <c r="E532" s="3" t="s">
        <v>16</v>
      </c>
      <c r="F532" s="4" t="s">
        <v>17</v>
      </c>
      <c r="G532" s="2" t="s">
        <v>17</v>
      </c>
      <c r="H532" s="5" t="s">
        <v>18</v>
      </c>
      <c r="I532" s="2"/>
      <c r="J532" s="2"/>
      <c r="K532" s="2" t="s">
        <v>19</v>
      </c>
      <c r="L532" s="2"/>
    </row>
    <row r="533" spans="1:12" ht="39" x14ac:dyDescent="0.2">
      <c r="A533" s="2" t="s">
        <v>1118</v>
      </c>
      <c r="B533" s="2" t="s">
        <v>1195</v>
      </c>
      <c r="C533" s="2" t="s">
        <v>1200</v>
      </c>
      <c r="D533" s="2" t="s">
        <v>1201</v>
      </c>
      <c r="E533" s="3" t="s">
        <v>16</v>
      </c>
      <c r="F533" s="4" t="s">
        <v>17</v>
      </c>
      <c r="G533" s="2" t="s">
        <v>17</v>
      </c>
      <c r="H533" s="5" t="s">
        <v>18</v>
      </c>
      <c r="I533" s="2"/>
      <c r="J533" s="2"/>
      <c r="K533" s="2" t="s">
        <v>19</v>
      </c>
      <c r="L533" s="2"/>
    </row>
    <row r="534" spans="1:12" ht="39" x14ac:dyDescent="0.2">
      <c r="A534" s="2" t="s">
        <v>1118</v>
      </c>
      <c r="B534" s="2" t="s">
        <v>1195</v>
      </c>
      <c r="C534" s="2" t="s">
        <v>1202</v>
      </c>
      <c r="D534" s="2" t="s">
        <v>1203</v>
      </c>
      <c r="E534" s="3" t="s">
        <v>16</v>
      </c>
      <c r="F534" s="4" t="s">
        <v>17</v>
      </c>
      <c r="G534" s="2" t="s">
        <v>17</v>
      </c>
      <c r="H534" s="5" t="s">
        <v>18</v>
      </c>
      <c r="I534" s="2"/>
      <c r="J534" s="2"/>
      <c r="K534" s="2" t="s">
        <v>19</v>
      </c>
      <c r="L534" s="2"/>
    </row>
    <row r="535" spans="1:12" ht="39" x14ac:dyDescent="0.2">
      <c r="A535" s="2" t="s">
        <v>1118</v>
      </c>
      <c r="B535" s="2" t="s">
        <v>1195</v>
      </c>
      <c r="C535" s="2" t="s">
        <v>1204</v>
      </c>
      <c r="D535" s="2" t="s">
        <v>1205</v>
      </c>
      <c r="E535" s="3" t="s">
        <v>16</v>
      </c>
      <c r="F535" s="4" t="s">
        <v>17</v>
      </c>
      <c r="G535" s="2" t="s">
        <v>17</v>
      </c>
      <c r="H535" s="5" t="s">
        <v>18</v>
      </c>
      <c r="I535" s="2"/>
      <c r="J535" s="2"/>
      <c r="K535" s="2" t="s">
        <v>19</v>
      </c>
      <c r="L535" s="2"/>
    </row>
    <row r="536" spans="1:12" ht="39" x14ac:dyDescent="0.2">
      <c r="A536" s="2" t="s">
        <v>1118</v>
      </c>
      <c r="B536" s="2" t="s">
        <v>1195</v>
      </c>
      <c r="C536" s="2" t="s">
        <v>1206</v>
      </c>
      <c r="D536" s="2" t="s">
        <v>1207</v>
      </c>
      <c r="E536" s="3" t="s">
        <v>16</v>
      </c>
      <c r="F536" s="4" t="s">
        <v>17</v>
      </c>
      <c r="G536" s="2" t="s">
        <v>17</v>
      </c>
      <c r="H536" s="5" t="s">
        <v>18</v>
      </c>
      <c r="I536" s="2"/>
      <c r="J536" s="2"/>
      <c r="K536" s="2" t="s">
        <v>19</v>
      </c>
      <c r="L536" s="2"/>
    </row>
    <row r="537" spans="1:12" ht="26" x14ac:dyDescent="0.2">
      <c r="A537" s="2" t="s">
        <v>1118</v>
      </c>
      <c r="B537" s="2" t="s">
        <v>1195</v>
      </c>
      <c r="C537" s="2" t="s">
        <v>1208</v>
      </c>
      <c r="D537" s="2" t="s">
        <v>1209</v>
      </c>
      <c r="E537" s="3" t="s">
        <v>16</v>
      </c>
      <c r="F537" s="4" t="s">
        <v>17</v>
      </c>
      <c r="G537" s="2" t="s">
        <v>17</v>
      </c>
      <c r="H537" s="5" t="s">
        <v>18</v>
      </c>
      <c r="I537" s="2"/>
      <c r="J537" s="2"/>
      <c r="K537" s="2" t="s">
        <v>19</v>
      </c>
      <c r="L537" s="2"/>
    </row>
    <row r="538" spans="1:12" ht="39" x14ac:dyDescent="0.2">
      <c r="A538" s="2" t="s">
        <v>1118</v>
      </c>
      <c r="B538" s="2" t="s">
        <v>1195</v>
      </c>
      <c r="C538" s="2" t="s">
        <v>1210</v>
      </c>
      <c r="D538" s="2" t="s">
        <v>1211</v>
      </c>
      <c r="E538" s="3" t="s">
        <v>16</v>
      </c>
      <c r="F538" s="4" t="s">
        <v>17</v>
      </c>
      <c r="G538" s="2" t="s">
        <v>17</v>
      </c>
      <c r="H538" s="5" t="s">
        <v>18</v>
      </c>
      <c r="I538" s="2"/>
      <c r="J538" s="2"/>
      <c r="K538" s="2" t="s">
        <v>19</v>
      </c>
      <c r="L538" s="2"/>
    </row>
    <row r="539" spans="1:12" ht="39" x14ac:dyDescent="0.2">
      <c r="A539" s="2" t="s">
        <v>1118</v>
      </c>
      <c r="B539" s="2" t="s">
        <v>1195</v>
      </c>
      <c r="C539" s="2" t="s">
        <v>1212</v>
      </c>
      <c r="D539" s="2" t="s">
        <v>1213</v>
      </c>
      <c r="E539" s="3" t="s">
        <v>16</v>
      </c>
      <c r="F539" s="4" t="s">
        <v>17</v>
      </c>
      <c r="G539" s="2" t="s">
        <v>17</v>
      </c>
      <c r="H539" s="5" t="s">
        <v>18</v>
      </c>
      <c r="I539" s="2"/>
      <c r="J539" s="2"/>
      <c r="K539" s="2" t="s">
        <v>19</v>
      </c>
      <c r="L539" s="2"/>
    </row>
    <row r="540" spans="1:12" ht="39" x14ac:dyDescent="0.2">
      <c r="A540" s="2" t="s">
        <v>1118</v>
      </c>
      <c r="B540" s="2" t="s">
        <v>1195</v>
      </c>
      <c r="C540" s="2" t="s">
        <v>1214</v>
      </c>
      <c r="D540" s="2" t="s">
        <v>1215</v>
      </c>
      <c r="E540" s="3" t="s">
        <v>16</v>
      </c>
      <c r="F540" s="4" t="s">
        <v>17</v>
      </c>
      <c r="G540" s="2" t="s">
        <v>17</v>
      </c>
      <c r="H540" s="5" t="s">
        <v>18</v>
      </c>
      <c r="I540" s="2"/>
      <c r="J540" s="2"/>
      <c r="K540" s="2" t="s">
        <v>19</v>
      </c>
      <c r="L540" s="2"/>
    </row>
    <row r="541" spans="1:12" ht="52" x14ac:dyDescent="0.2">
      <c r="A541" s="2" t="s">
        <v>1118</v>
      </c>
      <c r="B541" s="2" t="s">
        <v>1216</v>
      </c>
      <c r="C541" s="2" t="s">
        <v>1217</v>
      </c>
      <c r="D541" s="2" t="s">
        <v>1218</v>
      </c>
      <c r="E541" s="3" t="s">
        <v>16</v>
      </c>
      <c r="F541" s="4" t="s">
        <v>17</v>
      </c>
      <c r="G541" s="2" t="s">
        <v>17</v>
      </c>
      <c r="H541" s="5" t="s">
        <v>18</v>
      </c>
      <c r="I541" s="2"/>
      <c r="J541" s="2"/>
      <c r="K541" s="2" t="s">
        <v>19</v>
      </c>
      <c r="L541" s="2"/>
    </row>
    <row r="542" spans="1:12" ht="52" x14ac:dyDescent="0.2">
      <c r="A542" s="2" t="s">
        <v>1118</v>
      </c>
      <c r="B542" s="2" t="s">
        <v>1216</v>
      </c>
      <c r="C542" s="2" t="s">
        <v>1219</v>
      </c>
      <c r="D542" s="2" t="s">
        <v>1220</v>
      </c>
      <c r="E542" s="3" t="s">
        <v>16</v>
      </c>
      <c r="F542" s="4" t="s">
        <v>17</v>
      </c>
      <c r="G542" s="2" t="s">
        <v>17</v>
      </c>
      <c r="H542" s="5" t="s">
        <v>18</v>
      </c>
      <c r="I542" s="2"/>
      <c r="J542" s="2"/>
      <c r="K542" s="2" t="s">
        <v>19</v>
      </c>
      <c r="L542" s="2"/>
    </row>
    <row r="543" spans="1:12" ht="39" x14ac:dyDescent="0.2">
      <c r="A543" s="2" t="s">
        <v>1118</v>
      </c>
      <c r="B543" s="2" t="s">
        <v>1216</v>
      </c>
      <c r="C543" s="2" t="s">
        <v>1221</v>
      </c>
      <c r="D543" s="2" t="s">
        <v>1222</v>
      </c>
      <c r="E543" s="3" t="s">
        <v>16</v>
      </c>
      <c r="F543" s="4" t="s">
        <v>17</v>
      </c>
      <c r="G543" s="2" t="s">
        <v>17</v>
      </c>
      <c r="H543" s="5" t="s">
        <v>18</v>
      </c>
      <c r="I543" s="2"/>
      <c r="J543" s="2"/>
      <c r="K543" s="2" t="s">
        <v>19</v>
      </c>
      <c r="L543" s="2"/>
    </row>
    <row r="544" spans="1:12" ht="39" x14ac:dyDescent="0.2">
      <c r="A544" s="2" t="s">
        <v>1118</v>
      </c>
      <c r="B544" s="2" t="s">
        <v>1216</v>
      </c>
      <c r="C544" s="2" t="s">
        <v>1223</v>
      </c>
      <c r="D544" s="2" t="s">
        <v>1224</v>
      </c>
      <c r="E544" s="3" t="s">
        <v>16</v>
      </c>
      <c r="F544" s="4" t="s">
        <v>17</v>
      </c>
      <c r="G544" s="2" t="s">
        <v>17</v>
      </c>
      <c r="H544" s="5" t="s">
        <v>18</v>
      </c>
      <c r="I544" s="2"/>
      <c r="J544" s="2"/>
      <c r="K544" s="2" t="s">
        <v>19</v>
      </c>
      <c r="L544" s="2"/>
    </row>
    <row r="545" spans="1:12" ht="39" x14ac:dyDescent="0.2">
      <c r="A545" s="2" t="s">
        <v>1118</v>
      </c>
      <c r="B545" s="2" t="s">
        <v>1216</v>
      </c>
      <c r="C545" s="2" t="s">
        <v>1225</v>
      </c>
      <c r="D545" s="2" t="s">
        <v>1226</v>
      </c>
      <c r="E545" s="3" t="s">
        <v>16</v>
      </c>
      <c r="F545" s="4" t="s">
        <v>17</v>
      </c>
      <c r="G545" s="2" t="s">
        <v>17</v>
      </c>
      <c r="H545" s="5" t="s">
        <v>18</v>
      </c>
      <c r="I545" s="2"/>
      <c r="J545" s="2"/>
      <c r="K545" s="2" t="s">
        <v>19</v>
      </c>
      <c r="L545" s="2"/>
    </row>
    <row r="546" spans="1:12" ht="52" x14ac:dyDescent="0.2">
      <c r="A546" s="2" t="s">
        <v>1118</v>
      </c>
      <c r="B546" s="2" t="s">
        <v>1216</v>
      </c>
      <c r="C546" s="2" t="s">
        <v>1227</v>
      </c>
      <c r="D546" s="2" t="s">
        <v>1228</v>
      </c>
      <c r="E546" s="3" t="s">
        <v>16</v>
      </c>
      <c r="F546" s="4" t="s">
        <v>17</v>
      </c>
      <c r="G546" s="2" t="s">
        <v>17</v>
      </c>
      <c r="H546" s="5" t="s">
        <v>18</v>
      </c>
      <c r="I546" s="2"/>
      <c r="J546" s="2"/>
      <c r="K546" s="2" t="s">
        <v>19</v>
      </c>
      <c r="L546" s="2"/>
    </row>
    <row r="547" spans="1:12" ht="52" x14ac:dyDescent="0.2">
      <c r="A547" s="2" t="s">
        <v>1118</v>
      </c>
      <c r="B547" s="2" t="s">
        <v>1216</v>
      </c>
      <c r="C547" s="2" t="s">
        <v>1229</v>
      </c>
      <c r="D547" s="2" t="s">
        <v>1230</v>
      </c>
      <c r="E547" s="3" t="s">
        <v>16</v>
      </c>
      <c r="F547" s="4" t="s">
        <v>17</v>
      </c>
      <c r="G547" s="2" t="s">
        <v>17</v>
      </c>
      <c r="H547" s="5" t="s">
        <v>18</v>
      </c>
      <c r="I547" s="2"/>
      <c r="J547" s="2"/>
      <c r="K547" s="2" t="s">
        <v>19</v>
      </c>
      <c r="L547" s="2"/>
    </row>
    <row r="548" spans="1:12" ht="39" x14ac:dyDescent="0.2">
      <c r="A548" s="2" t="s">
        <v>1118</v>
      </c>
      <c r="B548" s="2" t="s">
        <v>1216</v>
      </c>
      <c r="C548" s="2" t="s">
        <v>1231</v>
      </c>
      <c r="D548" s="2" t="s">
        <v>1232</v>
      </c>
      <c r="E548" s="3" t="s">
        <v>16</v>
      </c>
      <c r="F548" s="4" t="s">
        <v>17</v>
      </c>
      <c r="G548" s="2" t="s">
        <v>17</v>
      </c>
      <c r="H548" s="5" t="s">
        <v>18</v>
      </c>
      <c r="I548" s="2"/>
      <c r="J548" s="2"/>
      <c r="K548" s="2" t="s">
        <v>19</v>
      </c>
      <c r="L548" s="2"/>
    </row>
    <row r="549" spans="1:12" ht="39" x14ac:dyDescent="0.2">
      <c r="A549" s="2" t="s">
        <v>1118</v>
      </c>
      <c r="B549" s="2" t="s">
        <v>1216</v>
      </c>
      <c r="C549" s="2" t="s">
        <v>1233</v>
      </c>
      <c r="D549" s="2" t="s">
        <v>1234</v>
      </c>
      <c r="E549" s="3" t="s">
        <v>16</v>
      </c>
      <c r="F549" s="4" t="s">
        <v>17</v>
      </c>
      <c r="G549" s="2" t="s">
        <v>17</v>
      </c>
      <c r="H549" s="5" t="s">
        <v>18</v>
      </c>
      <c r="I549" s="2"/>
      <c r="J549" s="2"/>
      <c r="K549" s="2" t="s">
        <v>19</v>
      </c>
      <c r="L549" s="2"/>
    </row>
    <row r="550" spans="1:12" ht="78" x14ac:dyDescent="0.2">
      <c r="A550" s="2" t="s">
        <v>1118</v>
      </c>
      <c r="B550" s="2" t="s">
        <v>1216</v>
      </c>
      <c r="C550" s="2" t="s">
        <v>1235</v>
      </c>
      <c r="D550" s="2" t="s">
        <v>1236</v>
      </c>
      <c r="E550" s="3" t="s">
        <v>16</v>
      </c>
      <c r="F550" s="4" t="s">
        <v>17</v>
      </c>
      <c r="G550" s="2" t="s">
        <v>17</v>
      </c>
      <c r="H550" s="5" t="s">
        <v>18</v>
      </c>
      <c r="I550" s="2"/>
      <c r="J550" s="2"/>
      <c r="K550" s="2" t="s">
        <v>19</v>
      </c>
      <c r="L550" s="2"/>
    </row>
    <row r="551" spans="1:12" ht="39" x14ac:dyDescent="0.2">
      <c r="A551" s="2" t="s">
        <v>1118</v>
      </c>
      <c r="B551" s="2" t="s">
        <v>1237</v>
      </c>
      <c r="C551" s="2" t="s">
        <v>1238</v>
      </c>
      <c r="D551" s="2" t="s">
        <v>1239</v>
      </c>
      <c r="E551" s="3" t="s">
        <v>16</v>
      </c>
      <c r="F551" s="4" t="s">
        <v>17</v>
      </c>
      <c r="G551" s="2" t="s">
        <v>17</v>
      </c>
      <c r="H551" s="5" t="s">
        <v>18</v>
      </c>
      <c r="I551" s="2"/>
      <c r="J551" s="2"/>
      <c r="K551" s="2" t="s">
        <v>19</v>
      </c>
      <c r="L551" s="2"/>
    </row>
    <row r="552" spans="1:12" ht="39" x14ac:dyDescent="0.2">
      <c r="A552" s="2" t="s">
        <v>1118</v>
      </c>
      <c r="B552" s="2" t="s">
        <v>1237</v>
      </c>
      <c r="C552" s="2" t="s">
        <v>1240</v>
      </c>
      <c r="D552" s="2" t="s">
        <v>1241</v>
      </c>
      <c r="E552" s="3" t="s">
        <v>16</v>
      </c>
      <c r="F552" s="4" t="s">
        <v>17</v>
      </c>
      <c r="G552" s="2" t="s">
        <v>17</v>
      </c>
      <c r="H552" s="5" t="s">
        <v>18</v>
      </c>
      <c r="I552" s="2"/>
      <c r="J552" s="2"/>
      <c r="K552" s="2" t="s">
        <v>19</v>
      </c>
      <c r="L552" s="2"/>
    </row>
    <row r="553" spans="1:12" ht="65" x14ac:dyDescent="0.2">
      <c r="A553" s="2" t="s">
        <v>1118</v>
      </c>
      <c r="B553" s="2" t="s">
        <v>1237</v>
      </c>
      <c r="C553" s="2" t="s">
        <v>1242</v>
      </c>
      <c r="D553" s="2" t="s">
        <v>1243</v>
      </c>
      <c r="E553" s="3" t="s">
        <v>16</v>
      </c>
      <c r="F553" s="4" t="s">
        <v>17</v>
      </c>
      <c r="G553" s="2" t="s">
        <v>17</v>
      </c>
      <c r="H553" s="5" t="s">
        <v>18</v>
      </c>
      <c r="I553" s="2"/>
      <c r="J553" s="2"/>
      <c r="K553" s="2" t="s">
        <v>19</v>
      </c>
      <c r="L553" s="2"/>
    </row>
    <row r="554" spans="1:12" ht="39" x14ac:dyDescent="0.2">
      <c r="A554" s="2" t="s">
        <v>1118</v>
      </c>
      <c r="B554" s="2" t="s">
        <v>1237</v>
      </c>
      <c r="C554" s="2" t="s">
        <v>1244</v>
      </c>
      <c r="D554" s="2" t="s">
        <v>1245</v>
      </c>
      <c r="E554" s="3" t="s">
        <v>16</v>
      </c>
      <c r="F554" s="4" t="s">
        <v>17</v>
      </c>
      <c r="G554" s="2" t="s">
        <v>17</v>
      </c>
      <c r="H554" s="5" t="s">
        <v>18</v>
      </c>
      <c r="I554" s="2"/>
      <c r="J554" s="2"/>
      <c r="K554" s="2" t="s">
        <v>19</v>
      </c>
      <c r="L554" s="2"/>
    </row>
    <row r="555" spans="1:12" ht="39" x14ac:dyDescent="0.2">
      <c r="A555" s="2" t="s">
        <v>1118</v>
      </c>
      <c r="B555" s="2" t="s">
        <v>1237</v>
      </c>
      <c r="C555" s="2" t="s">
        <v>1246</v>
      </c>
      <c r="D555" s="2" t="s">
        <v>1247</v>
      </c>
      <c r="E555" s="3" t="s">
        <v>16</v>
      </c>
      <c r="F555" s="4" t="s">
        <v>17</v>
      </c>
      <c r="G555" s="2" t="s">
        <v>17</v>
      </c>
      <c r="H555" s="5" t="s">
        <v>18</v>
      </c>
      <c r="I555" s="2"/>
      <c r="J555" s="2"/>
      <c r="K555" s="2" t="s">
        <v>19</v>
      </c>
      <c r="L555" s="2"/>
    </row>
    <row r="556" spans="1:12" ht="39" x14ac:dyDescent="0.2">
      <c r="A556" s="2" t="s">
        <v>1118</v>
      </c>
      <c r="B556" s="2" t="s">
        <v>1237</v>
      </c>
      <c r="C556" s="2" t="s">
        <v>1248</v>
      </c>
      <c r="D556" s="2" t="s">
        <v>1249</v>
      </c>
      <c r="E556" s="3" t="s">
        <v>16</v>
      </c>
      <c r="F556" s="4" t="s">
        <v>17</v>
      </c>
      <c r="G556" s="2" t="s">
        <v>17</v>
      </c>
      <c r="H556" s="5" t="s">
        <v>18</v>
      </c>
      <c r="I556" s="2"/>
      <c r="J556" s="2"/>
      <c r="K556" s="2" t="s">
        <v>19</v>
      </c>
      <c r="L556" s="2"/>
    </row>
    <row r="557" spans="1:12" ht="39" x14ac:dyDescent="0.2">
      <c r="A557" s="2" t="s">
        <v>1118</v>
      </c>
      <c r="B557" s="2" t="s">
        <v>1237</v>
      </c>
      <c r="C557" s="2" t="s">
        <v>1250</v>
      </c>
      <c r="D557" s="2" t="s">
        <v>1251</v>
      </c>
      <c r="E557" s="3" t="s">
        <v>16</v>
      </c>
      <c r="F557" s="4" t="s">
        <v>17</v>
      </c>
      <c r="G557" s="2" t="s">
        <v>17</v>
      </c>
      <c r="H557" s="5" t="s">
        <v>18</v>
      </c>
      <c r="I557" s="2"/>
      <c r="J557" s="2"/>
      <c r="K557" s="2" t="s">
        <v>19</v>
      </c>
      <c r="L557" s="2"/>
    </row>
    <row r="558" spans="1:12" ht="39" x14ac:dyDescent="0.2">
      <c r="A558" s="2" t="s">
        <v>1118</v>
      </c>
      <c r="B558" s="2" t="s">
        <v>1237</v>
      </c>
      <c r="C558" s="2" t="s">
        <v>1252</v>
      </c>
      <c r="D558" s="2" t="s">
        <v>1253</v>
      </c>
      <c r="E558" s="3" t="s">
        <v>16</v>
      </c>
      <c r="F558" s="4" t="s">
        <v>17</v>
      </c>
      <c r="G558" s="2" t="s">
        <v>17</v>
      </c>
      <c r="H558" s="5" t="s">
        <v>18</v>
      </c>
      <c r="I558" s="2"/>
      <c r="J558" s="2"/>
      <c r="K558" s="2" t="s">
        <v>19</v>
      </c>
      <c r="L558" s="2"/>
    </row>
    <row r="559" spans="1:12" ht="39" x14ac:dyDescent="0.2">
      <c r="A559" s="2" t="s">
        <v>1118</v>
      </c>
      <c r="B559" s="2" t="s">
        <v>1254</v>
      </c>
      <c r="C559" s="2" t="s">
        <v>1255</v>
      </c>
      <c r="D559" s="2" t="s">
        <v>1256</v>
      </c>
      <c r="E559" s="3" t="s">
        <v>16</v>
      </c>
      <c r="F559" s="4" t="s">
        <v>17</v>
      </c>
      <c r="G559" s="2" t="s">
        <v>17</v>
      </c>
      <c r="H559" s="5" t="s">
        <v>18</v>
      </c>
      <c r="I559" s="2"/>
      <c r="J559" s="2"/>
      <c r="K559" s="2" t="s">
        <v>19</v>
      </c>
      <c r="L559" s="2"/>
    </row>
    <row r="560" spans="1:12" ht="39" x14ac:dyDescent="0.2">
      <c r="A560" s="2" t="s">
        <v>1118</v>
      </c>
      <c r="B560" s="2" t="s">
        <v>1254</v>
      </c>
      <c r="C560" s="2" t="s">
        <v>1257</v>
      </c>
      <c r="D560" s="2" t="s">
        <v>1258</v>
      </c>
      <c r="E560" s="3" t="s">
        <v>16</v>
      </c>
      <c r="F560" s="4" t="s">
        <v>17</v>
      </c>
      <c r="G560" s="2" t="s">
        <v>17</v>
      </c>
      <c r="H560" s="5" t="s">
        <v>18</v>
      </c>
      <c r="I560" s="2"/>
      <c r="J560" s="2"/>
      <c r="K560" s="2" t="s">
        <v>19</v>
      </c>
      <c r="L560" s="2"/>
    </row>
    <row r="561" spans="1:12" ht="39" x14ac:dyDescent="0.2">
      <c r="A561" s="2" t="s">
        <v>1118</v>
      </c>
      <c r="B561" s="2" t="s">
        <v>1254</v>
      </c>
      <c r="C561" s="2" t="s">
        <v>1259</v>
      </c>
      <c r="D561" s="2" t="s">
        <v>1260</v>
      </c>
      <c r="E561" s="3" t="s">
        <v>16</v>
      </c>
      <c r="F561" s="4" t="s">
        <v>17</v>
      </c>
      <c r="G561" s="2" t="s">
        <v>17</v>
      </c>
      <c r="H561" s="5" t="s">
        <v>18</v>
      </c>
      <c r="I561" s="2"/>
      <c r="J561" s="2"/>
      <c r="K561" s="2" t="s">
        <v>19</v>
      </c>
      <c r="L561" s="2"/>
    </row>
    <row r="562" spans="1:12" ht="39" x14ac:dyDescent="0.2">
      <c r="A562" s="2" t="s">
        <v>1118</v>
      </c>
      <c r="B562" s="2" t="s">
        <v>1254</v>
      </c>
      <c r="C562" s="2" t="s">
        <v>1261</v>
      </c>
      <c r="D562" s="2" t="s">
        <v>1262</v>
      </c>
      <c r="E562" s="3" t="s">
        <v>16</v>
      </c>
      <c r="F562" s="4" t="s">
        <v>17</v>
      </c>
      <c r="G562" s="2" t="s">
        <v>17</v>
      </c>
      <c r="H562" s="5" t="s">
        <v>18</v>
      </c>
      <c r="I562" s="2"/>
      <c r="J562" s="2"/>
      <c r="K562" s="2" t="s">
        <v>19</v>
      </c>
      <c r="L562" s="2"/>
    </row>
    <row r="563" spans="1:12" ht="39" x14ac:dyDescent="0.2">
      <c r="A563" s="2" t="s">
        <v>1118</v>
      </c>
      <c r="B563" s="2" t="s">
        <v>1254</v>
      </c>
      <c r="C563" s="2" t="s">
        <v>1263</v>
      </c>
      <c r="D563" s="2" t="s">
        <v>1264</v>
      </c>
      <c r="E563" s="3" t="s">
        <v>16</v>
      </c>
      <c r="F563" s="4" t="s">
        <v>17</v>
      </c>
      <c r="G563" s="2" t="s">
        <v>17</v>
      </c>
      <c r="H563" s="5" t="s">
        <v>18</v>
      </c>
      <c r="I563" s="2"/>
      <c r="J563" s="2"/>
      <c r="K563" s="2" t="s">
        <v>19</v>
      </c>
      <c r="L563" s="2"/>
    </row>
    <row r="564" spans="1:12" ht="39" x14ac:dyDescent="0.2">
      <c r="A564" s="2" t="s">
        <v>1118</v>
      </c>
      <c r="B564" s="2" t="s">
        <v>1254</v>
      </c>
      <c r="C564" s="2" t="s">
        <v>1265</v>
      </c>
      <c r="D564" s="2" t="s">
        <v>1266</v>
      </c>
      <c r="E564" s="3" t="s">
        <v>16</v>
      </c>
      <c r="F564" s="4" t="s">
        <v>17</v>
      </c>
      <c r="G564" s="2" t="s">
        <v>17</v>
      </c>
      <c r="H564" s="5" t="s">
        <v>18</v>
      </c>
      <c r="I564" s="2"/>
      <c r="J564" s="2"/>
      <c r="K564" s="2" t="s">
        <v>19</v>
      </c>
      <c r="L564" s="2"/>
    </row>
    <row r="565" spans="1:12" ht="39" x14ac:dyDescent="0.2">
      <c r="A565" s="2" t="s">
        <v>1118</v>
      </c>
      <c r="B565" s="2" t="s">
        <v>1254</v>
      </c>
      <c r="C565" s="2" t="s">
        <v>1267</v>
      </c>
      <c r="D565" s="2" t="s">
        <v>1268</v>
      </c>
      <c r="E565" s="3" t="s">
        <v>16</v>
      </c>
      <c r="F565" s="4" t="s">
        <v>17</v>
      </c>
      <c r="G565" s="2" t="s">
        <v>17</v>
      </c>
      <c r="H565" s="5" t="s">
        <v>18</v>
      </c>
      <c r="I565" s="2"/>
      <c r="J565" s="2"/>
      <c r="K565" s="2" t="s">
        <v>19</v>
      </c>
      <c r="L565" s="2"/>
    </row>
    <row r="566" spans="1:12" ht="39" x14ac:dyDescent="0.2">
      <c r="A566" s="2" t="s">
        <v>1118</v>
      </c>
      <c r="B566" s="2" t="s">
        <v>1254</v>
      </c>
      <c r="C566" s="2" t="s">
        <v>1269</v>
      </c>
      <c r="D566" s="2" t="s">
        <v>1270</v>
      </c>
      <c r="E566" s="3" t="s">
        <v>16</v>
      </c>
      <c r="F566" s="4" t="s">
        <v>17</v>
      </c>
      <c r="G566" s="2" t="s">
        <v>17</v>
      </c>
      <c r="H566" s="5" t="s">
        <v>18</v>
      </c>
      <c r="I566" s="2"/>
      <c r="J566" s="2"/>
      <c r="K566" s="2" t="s">
        <v>19</v>
      </c>
      <c r="L566" s="2"/>
    </row>
    <row r="567" spans="1:12" ht="39" x14ac:dyDescent="0.2">
      <c r="A567" s="2" t="s">
        <v>1118</v>
      </c>
      <c r="B567" s="2" t="s">
        <v>1254</v>
      </c>
      <c r="C567" s="2" t="s">
        <v>1271</v>
      </c>
      <c r="D567" s="2" t="s">
        <v>1272</v>
      </c>
      <c r="E567" s="3" t="s">
        <v>16</v>
      </c>
      <c r="F567" s="4" t="s">
        <v>17</v>
      </c>
      <c r="G567" s="2" t="s">
        <v>17</v>
      </c>
      <c r="H567" s="5" t="s">
        <v>18</v>
      </c>
      <c r="I567" s="2"/>
      <c r="J567" s="2"/>
      <c r="K567" s="2" t="s">
        <v>19</v>
      </c>
      <c r="L567" s="2"/>
    </row>
    <row r="568" spans="1:12" ht="39" x14ac:dyDescent="0.2">
      <c r="A568" s="2" t="s">
        <v>1118</v>
      </c>
      <c r="B568" s="2" t="s">
        <v>1254</v>
      </c>
      <c r="C568" s="2" t="s">
        <v>1273</v>
      </c>
      <c r="D568" s="2" t="s">
        <v>1274</v>
      </c>
      <c r="E568" s="3" t="s">
        <v>16</v>
      </c>
      <c r="F568" s="4" t="s">
        <v>17</v>
      </c>
      <c r="G568" s="2" t="s">
        <v>17</v>
      </c>
      <c r="H568" s="5" t="s">
        <v>18</v>
      </c>
      <c r="I568" s="2"/>
      <c r="J568" s="2"/>
      <c r="K568" s="2" t="s">
        <v>19</v>
      </c>
      <c r="L568" s="2"/>
    </row>
    <row r="569" spans="1:12" ht="39" x14ac:dyDescent="0.2">
      <c r="A569" s="2" t="s">
        <v>1118</v>
      </c>
      <c r="B569" s="2" t="s">
        <v>1275</v>
      </c>
      <c r="C569" s="2" t="s">
        <v>1276</v>
      </c>
      <c r="D569" s="2" t="s">
        <v>1277</v>
      </c>
      <c r="E569" s="3" t="s">
        <v>16</v>
      </c>
      <c r="F569" s="4" t="s">
        <v>17</v>
      </c>
      <c r="G569" s="2" t="s">
        <v>17</v>
      </c>
      <c r="H569" s="5" t="s">
        <v>18</v>
      </c>
      <c r="I569" s="2"/>
      <c r="J569" s="2"/>
      <c r="K569" s="2" t="s">
        <v>19</v>
      </c>
      <c r="L569" s="2"/>
    </row>
    <row r="570" spans="1:12" ht="39" x14ac:dyDescent="0.2">
      <c r="A570" s="2" t="s">
        <v>1118</v>
      </c>
      <c r="B570" s="2" t="s">
        <v>1275</v>
      </c>
      <c r="C570" s="2" t="s">
        <v>1278</v>
      </c>
      <c r="D570" s="2" t="s">
        <v>1279</v>
      </c>
      <c r="E570" s="3" t="s">
        <v>16</v>
      </c>
      <c r="F570" s="4" t="s">
        <v>17</v>
      </c>
      <c r="G570" s="2" t="s">
        <v>17</v>
      </c>
      <c r="H570" s="5" t="s">
        <v>18</v>
      </c>
      <c r="I570" s="2"/>
      <c r="J570" s="2"/>
      <c r="K570" s="2" t="s">
        <v>19</v>
      </c>
      <c r="L570" s="2"/>
    </row>
    <row r="571" spans="1:12" ht="39" x14ac:dyDescent="0.2">
      <c r="A571" s="2" t="s">
        <v>1118</v>
      </c>
      <c r="B571" s="2" t="s">
        <v>1275</v>
      </c>
      <c r="C571" s="2" t="s">
        <v>1280</v>
      </c>
      <c r="D571" s="2" t="s">
        <v>1281</v>
      </c>
      <c r="E571" s="3" t="s">
        <v>16</v>
      </c>
      <c r="F571" s="4" t="s">
        <v>17</v>
      </c>
      <c r="G571" s="2" t="s">
        <v>17</v>
      </c>
      <c r="H571" s="5" t="s">
        <v>18</v>
      </c>
      <c r="I571" s="2"/>
      <c r="J571" s="2"/>
      <c r="K571" s="2" t="s">
        <v>19</v>
      </c>
      <c r="L571" s="2"/>
    </row>
    <row r="572" spans="1:12" ht="39" x14ac:dyDescent="0.2">
      <c r="A572" s="2" t="s">
        <v>1118</v>
      </c>
      <c r="B572" s="2" t="s">
        <v>1275</v>
      </c>
      <c r="C572" s="2" t="s">
        <v>1282</v>
      </c>
      <c r="D572" s="2" t="s">
        <v>1283</v>
      </c>
      <c r="E572" s="3" t="s">
        <v>16</v>
      </c>
      <c r="F572" s="4" t="s">
        <v>17</v>
      </c>
      <c r="G572" s="2" t="s">
        <v>17</v>
      </c>
      <c r="H572" s="5" t="s">
        <v>18</v>
      </c>
      <c r="I572" s="2"/>
      <c r="J572" s="2"/>
      <c r="K572" s="2" t="s">
        <v>19</v>
      </c>
      <c r="L572" s="2"/>
    </row>
    <row r="573" spans="1:12" ht="39" x14ac:dyDescent="0.2">
      <c r="A573" s="2" t="s">
        <v>1118</v>
      </c>
      <c r="B573" s="2" t="s">
        <v>1275</v>
      </c>
      <c r="C573" s="2" t="s">
        <v>1284</v>
      </c>
      <c r="D573" s="2" t="s">
        <v>1285</v>
      </c>
      <c r="E573" s="3" t="s">
        <v>16</v>
      </c>
      <c r="F573" s="4" t="s">
        <v>17</v>
      </c>
      <c r="G573" s="2" t="s">
        <v>17</v>
      </c>
      <c r="H573" s="5" t="s">
        <v>18</v>
      </c>
      <c r="I573" s="2"/>
      <c r="J573" s="2"/>
      <c r="K573" s="2" t="s">
        <v>19</v>
      </c>
      <c r="L573" s="2"/>
    </row>
    <row r="574" spans="1:12" ht="39" x14ac:dyDescent="0.2">
      <c r="A574" s="2" t="s">
        <v>1118</v>
      </c>
      <c r="B574" s="2" t="s">
        <v>1275</v>
      </c>
      <c r="C574" s="2" t="s">
        <v>1286</v>
      </c>
      <c r="D574" s="2" t="s">
        <v>1287</v>
      </c>
      <c r="E574" s="3" t="s">
        <v>16</v>
      </c>
      <c r="F574" s="4" t="s">
        <v>17</v>
      </c>
      <c r="G574" s="2" t="s">
        <v>17</v>
      </c>
      <c r="H574" s="5" t="s">
        <v>18</v>
      </c>
      <c r="I574" s="2"/>
      <c r="J574" s="2"/>
      <c r="K574" s="2" t="s">
        <v>19</v>
      </c>
      <c r="L574" s="2"/>
    </row>
    <row r="575" spans="1:12" ht="39" x14ac:dyDescent="0.2">
      <c r="A575" s="2" t="s">
        <v>1118</v>
      </c>
      <c r="B575" s="2" t="s">
        <v>1275</v>
      </c>
      <c r="C575" s="2" t="s">
        <v>1288</v>
      </c>
      <c r="D575" s="2" t="s">
        <v>1289</v>
      </c>
      <c r="E575" s="3" t="s">
        <v>16</v>
      </c>
      <c r="F575" s="4" t="s">
        <v>17</v>
      </c>
      <c r="G575" s="2" t="s">
        <v>17</v>
      </c>
      <c r="H575" s="5" t="s">
        <v>18</v>
      </c>
      <c r="I575" s="2"/>
      <c r="J575" s="2"/>
      <c r="K575" s="2" t="s">
        <v>19</v>
      </c>
      <c r="L575" s="2"/>
    </row>
    <row r="576" spans="1:12" ht="26" x14ac:dyDescent="0.2">
      <c r="A576" s="2" t="s">
        <v>1118</v>
      </c>
      <c r="B576" s="2" t="s">
        <v>1275</v>
      </c>
      <c r="C576" s="2" t="s">
        <v>1290</v>
      </c>
      <c r="D576" s="2" t="s">
        <v>1291</v>
      </c>
      <c r="E576" s="3" t="s">
        <v>16</v>
      </c>
      <c r="F576" s="4" t="s">
        <v>17</v>
      </c>
      <c r="G576" s="2" t="s">
        <v>17</v>
      </c>
      <c r="H576" s="5" t="s">
        <v>18</v>
      </c>
      <c r="I576" s="2"/>
      <c r="J576" s="2"/>
      <c r="K576" s="2" t="s">
        <v>19</v>
      </c>
      <c r="L576" s="2"/>
    </row>
    <row r="577" spans="1:12" ht="39" x14ac:dyDescent="0.2">
      <c r="A577" s="2" t="s">
        <v>1118</v>
      </c>
      <c r="B577" s="2" t="s">
        <v>1292</v>
      </c>
      <c r="C577" s="2" t="s">
        <v>1293</v>
      </c>
      <c r="D577" s="2" t="s">
        <v>1294</v>
      </c>
      <c r="E577" s="3" t="s">
        <v>16</v>
      </c>
      <c r="F577" s="4" t="s">
        <v>17</v>
      </c>
      <c r="G577" s="2" t="s">
        <v>17</v>
      </c>
      <c r="H577" s="5" t="s">
        <v>18</v>
      </c>
      <c r="I577" s="2"/>
      <c r="J577" s="2"/>
      <c r="K577" s="2" t="s">
        <v>19</v>
      </c>
      <c r="L577" s="2"/>
    </row>
    <row r="578" spans="1:12" ht="65" x14ac:dyDescent="0.2">
      <c r="A578" s="2" t="s">
        <v>1118</v>
      </c>
      <c r="B578" s="2" t="s">
        <v>1292</v>
      </c>
      <c r="C578" s="2" t="s">
        <v>1295</v>
      </c>
      <c r="D578" s="2" t="s">
        <v>1296</v>
      </c>
      <c r="E578" s="3" t="s">
        <v>16</v>
      </c>
      <c r="F578" s="4" t="s">
        <v>17</v>
      </c>
      <c r="G578" s="2" t="s">
        <v>17</v>
      </c>
      <c r="H578" s="5" t="s">
        <v>18</v>
      </c>
      <c r="I578" s="2"/>
      <c r="J578" s="2"/>
      <c r="K578" s="2" t="s">
        <v>19</v>
      </c>
      <c r="L578" s="2"/>
    </row>
    <row r="579" spans="1:12" ht="39" x14ac:dyDescent="0.2">
      <c r="A579" s="2" t="s">
        <v>1118</v>
      </c>
      <c r="B579" s="2" t="s">
        <v>1292</v>
      </c>
      <c r="C579" s="2" t="s">
        <v>1297</v>
      </c>
      <c r="D579" s="2" t="s">
        <v>1298</v>
      </c>
      <c r="E579" s="3" t="s">
        <v>16</v>
      </c>
      <c r="F579" s="4" t="s">
        <v>17</v>
      </c>
      <c r="G579" s="2" t="s">
        <v>17</v>
      </c>
      <c r="H579" s="5" t="s">
        <v>18</v>
      </c>
      <c r="I579" s="2"/>
      <c r="J579" s="2"/>
      <c r="K579" s="2" t="s">
        <v>19</v>
      </c>
      <c r="L579" s="2"/>
    </row>
    <row r="580" spans="1:12" ht="39" x14ac:dyDescent="0.2">
      <c r="A580" s="2" t="s">
        <v>1118</v>
      </c>
      <c r="B580" s="2" t="s">
        <v>1292</v>
      </c>
      <c r="C580" s="2" t="s">
        <v>1299</v>
      </c>
      <c r="D580" s="2" t="s">
        <v>1300</v>
      </c>
      <c r="E580" s="3" t="s">
        <v>16</v>
      </c>
      <c r="F580" s="4" t="s">
        <v>17</v>
      </c>
      <c r="G580" s="2" t="s">
        <v>17</v>
      </c>
      <c r="H580" s="5" t="s">
        <v>18</v>
      </c>
      <c r="I580" s="2"/>
      <c r="J580" s="2"/>
      <c r="K580" s="2" t="s">
        <v>19</v>
      </c>
      <c r="L580" s="2"/>
    </row>
    <row r="581" spans="1:12" ht="26" x14ac:dyDescent="0.2">
      <c r="A581" s="2" t="s">
        <v>1118</v>
      </c>
      <c r="B581" s="2" t="s">
        <v>1292</v>
      </c>
      <c r="C581" s="2" t="s">
        <v>1301</v>
      </c>
      <c r="D581" s="2" t="s">
        <v>1302</v>
      </c>
      <c r="E581" s="3" t="s">
        <v>16</v>
      </c>
      <c r="F581" s="4" t="s">
        <v>17</v>
      </c>
      <c r="G581" s="2" t="s">
        <v>17</v>
      </c>
      <c r="H581" s="5" t="s">
        <v>18</v>
      </c>
      <c r="I581" s="2"/>
      <c r="J581" s="2"/>
      <c r="K581" s="2" t="s">
        <v>19</v>
      </c>
      <c r="L581" s="2"/>
    </row>
    <row r="582" spans="1:12" ht="39" x14ac:dyDescent="0.2">
      <c r="A582" s="2" t="s">
        <v>1118</v>
      </c>
      <c r="B582" s="2" t="s">
        <v>1292</v>
      </c>
      <c r="C582" s="2" t="s">
        <v>1303</v>
      </c>
      <c r="D582" s="2" t="s">
        <v>1304</v>
      </c>
      <c r="E582" s="3" t="s">
        <v>16</v>
      </c>
      <c r="F582" s="4" t="s">
        <v>17</v>
      </c>
      <c r="G582" s="2" t="s">
        <v>17</v>
      </c>
      <c r="H582" s="5" t="s">
        <v>18</v>
      </c>
      <c r="I582" s="2"/>
      <c r="J582" s="2"/>
      <c r="K582" s="2" t="s">
        <v>19</v>
      </c>
      <c r="L582" s="2"/>
    </row>
    <row r="583" spans="1:12" ht="26" x14ac:dyDescent="0.2">
      <c r="A583" s="2" t="s">
        <v>1118</v>
      </c>
      <c r="B583" s="2" t="s">
        <v>1292</v>
      </c>
      <c r="C583" s="2" t="s">
        <v>1305</v>
      </c>
      <c r="D583" s="2" t="s">
        <v>1306</v>
      </c>
      <c r="E583" s="3" t="s">
        <v>16</v>
      </c>
      <c r="F583" s="4" t="s">
        <v>17</v>
      </c>
      <c r="G583" s="2" t="s">
        <v>17</v>
      </c>
      <c r="H583" s="5" t="s">
        <v>18</v>
      </c>
      <c r="I583" s="2"/>
      <c r="J583" s="2"/>
      <c r="K583" s="2" t="s">
        <v>19</v>
      </c>
      <c r="L583" s="2"/>
    </row>
    <row r="584" spans="1:12" ht="39" x14ac:dyDescent="0.2">
      <c r="A584" s="2" t="s">
        <v>1118</v>
      </c>
      <c r="B584" s="2" t="s">
        <v>1292</v>
      </c>
      <c r="C584" s="2" t="s">
        <v>1307</v>
      </c>
      <c r="D584" s="2" t="s">
        <v>1308</v>
      </c>
      <c r="E584" s="3" t="s">
        <v>16</v>
      </c>
      <c r="F584" s="4" t="s">
        <v>17</v>
      </c>
      <c r="G584" s="2" t="s">
        <v>17</v>
      </c>
      <c r="H584" s="5" t="s">
        <v>18</v>
      </c>
      <c r="I584" s="2"/>
      <c r="J584" s="2"/>
      <c r="K584" s="2" t="s">
        <v>19</v>
      </c>
      <c r="L584" s="2"/>
    </row>
    <row r="585" spans="1:12" ht="26" x14ac:dyDescent="0.2">
      <c r="A585" s="2" t="s">
        <v>1118</v>
      </c>
      <c r="B585" s="2" t="s">
        <v>1292</v>
      </c>
      <c r="C585" s="2" t="s">
        <v>1309</v>
      </c>
      <c r="D585" s="2" t="s">
        <v>1310</v>
      </c>
      <c r="E585" s="3" t="s">
        <v>16</v>
      </c>
      <c r="F585" s="4" t="s">
        <v>17</v>
      </c>
      <c r="G585" s="2" t="s">
        <v>17</v>
      </c>
      <c r="H585" s="5" t="s">
        <v>18</v>
      </c>
      <c r="I585" s="2"/>
      <c r="J585" s="2"/>
      <c r="K585" s="2" t="s">
        <v>19</v>
      </c>
      <c r="L585" s="2"/>
    </row>
    <row r="586" spans="1:12" ht="39" x14ac:dyDescent="0.2">
      <c r="A586" s="2" t="s">
        <v>1118</v>
      </c>
      <c r="B586" s="2" t="s">
        <v>1292</v>
      </c>
      <c r="C586" s="2" t="s">
        <v>1311</v>
      </c>
      <c r="D586" s="2" t="s">
        <v>1312</v>
      </c>
      <c r="E586" s="3" t="s">
        <v>16</v>
      </c>
      <c r="F586" s="4" t="s">
        <v>17</v>
      </c>
      <c r="G586" s="2" t="s">
        <v>17</v>
      </c>
      <c r="H586" s="5" t="s">
        <v>18</v>
      </c>
      <c r="I586" s="2"/>
      <c r="J586" s="2"/>
      <c r="K586" s="2" t="s">
        <v>19</v>
      </c>
      <c r="L586" s="2"/>
    </row>
    <row r="587" spans="1:12" ht="39" x14ac:dyDescent="0.2">
      <c r="A587" s="2" t="s">
        <v>1118</v>
      </c>
      <c r="B587" s="2" t="s">
        <v>1313</v>
      </c>
      <c r="C587" s="2" t="s">
        <v>1314</v>
      </c>
      <c r="D587" s="2" t="s">
        <v>1315</v>
      </c>
      <c r="E587" s="3" t="s">
        <v>16</v>
      </c>
      <c r="F587" s="4" t="s">
        <v>17</v>
      </c>
      <c r="G587" s="2" t="s">
        <v>17</v>
      </c>
      <c r="H587" s="5" t="s">
        <v>18</v>
      </c>
      <c r="I587" s="2"/>
      <c r="J587" s="2"/>
      <c r="K587" s="2" t="s">
        <v>19</v>
      </c>
      <c r="L587" s="2"/>
    </row>
    <row r="588" spans="1:12" ht="39" x14ac:dyDescent="0.2">
      <c r="A588" s="2" t="s">
        <v>1118</v>
      </c>
      <c r="B588" s="2" t="s">
        <v>1313</v>
      </c>
      <c r="C588" s="2" t="s">
        <v>1316</v>
      </c>
      <c r="D588" s="2" t="s">
        <v>1317</v>
      </c>
      <c r="E588" s="3" t="s">
        <v>16</v>
      </c>
      <c r="F588" s="4" t="s">
        <v>17</v>
      </c>
      <c r="G588" s="2" t="s">
        <v>17</v>
      </c>
      <c r="H588" s="5" t="s">
        <v>18</v>
      </c>
      <c r="I588" s="2"/>
      <c r="J588" s="2"/>
      <c r="K588" s="2" t="s">
        <v>19</v>
      </c>
      <c r="L588" s="2"/>
    </row>
    <row r="589" spans="1:12" ht="52" x14ac:dyDescent="0.2">
      <c r="A589" s="2" t="s">
        <v>1118</v>
      </c>
      <c r="B589" s="2" t="s">
        <v>1313</v>
      </c>
      <c r="C589" s="2" t="s">
        <v>1318</v>
      </c>
      <c r="D589" s="2" t="s">
        <v>1319</v>
      </c>
      <c r="E589" s="3" t="s">
        <v>16</v>
      </c>
      <c r="F589" s="4" t="s">
        <v>17</v>
      </c>
      <c r="G589" s="2" t="s">
        <v>17</v>
      </c>
      <c r="H589" s="5" t="s">
        <v>18</v>
      </c>
      <c r="I589" s="2"/>
      <c r="J589" s="2"/>
      <c r="K589" s="2" t="s">
        <v>19</v>
      </c>
      <c r="L589" s="2"/>
    </row>
    <row r="590" spans="1:12" ht="39" x14ac:dyDescent="0.2">
      <c r="A590" s="2" t="s">
        <v>1118</v>
      </c>
      <c r="B590" s="2" t="s">
        <v>1313</v>
      </c>
      <c r="C590" s="2" t="s">
        <v>1320</v>
      </c>
      <c r="D590" s="2" t="s">
        <v>1321</v>
      </c>
      <c r="E590" s="3" t="s">
        <v>16</v>
      </c>
      <c r="F590" s="4" t="s">
        <v>17</v>
      </c>
      <c r="G590" s="2" t="s">
        <v>17</v>
      </c>
      <c r="H590" s="5" t="s">
        <v>18</v>
      </c>
      <c r="I590" s="2"/>
      <c r="J590" s="2"/>
      <c r="K590" s="2" t="s">
        <v>19</v>
      </c>
      <c r="L590" s="2"/>
    </row>
    <row r="591" spans="1:12" ht="39" x14ac:dyDescent="0.2">
      <c r="A591" s="2" t="s">
        <v>1118</v>
      </c>
      <c r="B591" s="2" t="s">
        <v>1313</v>
      </c>
      <c r="C591" s="2" t="s">
        <v>1322</v>
      </c>
      <c r="D591" s="2" t="s">
        <v>1323</v>
      </c>
      <c r="E591" s="3" t="s">
        <v>16</v>
      </c>
      <c r="F591" s="4" t="s">
        <v>17</v>
      </c>
      <c r="G591" s="2" t="s">
        <v>17</v>
      </c>
      <c r="H591" s="5" t="s">
        <v>18</v>
      </c>
      <c r="I591" s="2"/>
      <c r="J591" s="2"/>
      <c r="K591" s="2" t="s">
        <v>19</v>
      </c>
      <c r="L591" s="2"/>
    </row>
    <row r="592" spans="1:12" ht="39" x14ac:dyDescent="0.2">
      <c r="A592" s="2" t="s">
        <v>1118</v>
      </c>
      <c r="B592" s="2" t="s">
        <v>1313</v>
      </c>
      <c r="C592" s="2" t="s">
        <v>1324</v>
      </c>
      <c r="D592" s="2" t="s">
        <v>1325</v>
      </c>
      <c r="E592" s="3" t="s">
        <v>16</v>
      </c>
      <c r="F592" s="4" t="s">
        <v>17</v>
      </c>
      <c r="G592" s="2" t="s">
        <v>17</v>
      </c>
      <c r="H592" s="5" t="s">
        <v>18</v>
      </c>
      <c r="I592" s="2"/>
      <c r="J592" s="2"/>
      <c r="K592" s="2" t="s">
        <v>19</v>
      </c>
      <c r="L592" s="2"/>
    </row>
    <row r="593" spans="1:12" ht="39" x14ac:dyDescent="0.2">
      <c r="A593" s="2" t="s">
        <v>1118</v>
      </c>
      <c r="B593" s="2" t="s">
        <v>1313</v>
      </c>
      <c r="C593" s="2" t="s">
        <v>1326</v>
      </c>
      <c r="D593" s="2" t="s">
        <v>1327</v>
      </c>
      <c r="E593" s="3" t="s">
        <v>16</v>
      </c>
      <c r="F593" s="4" t="s">
        <v>17</v>
      </c>
      <c r="G593" s="2" t="s">
        <v>17</v>
      </c>
      <c r="H593" s="5" t="s">
        <v>18</v>
      </c>
      <c r="I593" s="2"/>
      <c r="J593" s="2"/>
      <c r="K593" s="2" t="s">
        <v>19</v>
      </c>
      <c r="L593" s="2"/>
    </row>
    <row r="594" spans="1:12" ht="39" x14ac:dyDescent="0.2">
      <c r="A594" s="2" t="s">
        <v>1118</v>
      </c>
      <c r="B594" s="2" t="s">
        <v>1313</v>
      </c>
      <c r="C594" s="2" t="s">
        <v>1328</v>
      </c>
      <c r="D594" s="2" t="s">
        <v>1329</v>
      </c>
      <c r="E594" s="3" t="s">
        <v>16</v>
      </c>
      <c r="F594" s="4" t="s">
        <v>17</v>
      </c>
      <c r="G594" s="2" t="s">
        <v>17</v>
      </c>
      <c r="H594" s="5" t="s">
        <v>18</v>
      </c>
      <c r="I594" s="2"/>
      <c r="J594" s="2"/>
      <c r="K594" s="2" t="s">
        <v>19</v>
      </c>
      <c r="L594" s="2"/>
    </row>
    <row r="595" spans="1:12" ht="39" x14ac:dyDescent="0.2">
      <c r="A595" s="2" t="s">
        <v>1118</v>
      </c>
      <c r="B595" s="2" t="s">
        <v>1313</v>
      </c>
      <c r="C595" s="2" t="s">
        <v>1330</v>
      </c>
      <c r="D595" s="2" t="s">
        <v>1331</v>
      </c>
      <c r="E595" s="3" t="s">
        <v>16</v>
      </c>
      <c r="F595" s="4" t="s">
        <v>17</v>
      </c>
      <c r="G595" s="2" t="s">
        <v>17</v>
      </c>
      <c r="H595" s="5" t="s">
        <v>18</v>
      </c>
      <c r="I595" s="2"/>
      <c r="J595" s="2"/>
      <c r="K595" s="2" t="s">
        <v>19</v>
      </c>
      <c r="L595" s="2"/>
    </row>
    <row r="596" spans="1:12" ht="39" x14ac:dyDescent="0.2">
      <c r="A596" s="2" t="s">
        <v>1118</v>
      </c>
      <c r="B596" s="2" t="s">
        <v>1313</v>
      </c>
      <c r="C596" s="2" t="s">
        <v>1332</v>
      </c>
      <c r="D596" s="2" t="s">
        <v>1333</v>
      </c>
      <c r="E596" s="3" t="s">
        <v>16</v>
      </c>
      <c r="F596" s="4" t="s">
        <v>17</v>
      </c>
      <c r="G596" s="2" t="s">
        <v>17</v>
      </c>
      <c r="H596" s="5" t="s">
        <v>18</v>
      </c>
      <c r="I596" s="2"/>
      <c r="J596" s="2"/>
      <c r="K596" s="2" t="s">
        <v>19</v>
      </c>
      <c r="L596" s="2"/>
    </row>
    <row r="597" spans="1:12" ht="39" x14ac:dyDescent="0.2">
      <c r="A597" s="2" t="s">
        <v>1118</v>
      </c>
      <c r="B597" s="2" t="s">
        <v>1313</v>
      </c>
      <c r="C597" s="2" t="s">
        <v>1334</v>
      </c>
      <c r="D597" s="2" t="s">
        <v>1335</v>
      </c>
      <c r="E597" s="3" t="s">
        <v>16</v>
      </c>
      <c r="F597" s="4" t="s">
        <v>17</v>
      </c>
      <c r="G597" s="2" t="s">
        <v>17</v>
      </c>
      <c r="H597" s="5" t="s">
        <v>18</v>
      </c>
      <c r="I597" s="2"/>
      <c r="J597" s="2"/>
      <c r="K597" s="2" t="s">
        <v>19</v>
      </c>
      <c r="L597" s="2"/>
    </row>
    <row r="598" spans="1:12" ht="104" x14ac:dyDescent="0.2">
      <c r="A598" s="2" t="s">
        <v>1118</v>
      </c>
      <c r="B598" s="2" t="s">
        <v>1313</v>
      </c>
      <c r="C598" s="2" t="s">
        <v>1336</v>
      </c>
      <c r="D598" s="2" t="s">
        <v>1337</v>
      </c>
      <c r="E598" s="3" t="s">
        <v>16</v>
      </c>
      <c r="F598" s="4" t="s">
        <v>17</v>
      </c>
      <c r="G598" s="2" t="s">
        <v>17</v>
      </c>
      <c r="H598" s="5" t="s">
        <v>18</v>
      </c>
      <c r="I598" s="2"/>
      <c r="J598" s="2"/>
      <c r="K598" s="2" t="s">
        <v>19</v>
      </c>
      <c r="L598" s="2"/>
    </row>
    <row r="599" spans="1:12" ht="39" x14ac:dyDescent="0.2">
      <c r="A599" s="2" t="s">
        <v>1118</v>
      </c>
      <c r="B599" s="2" t="s">
        <v>1338</v>
      </c>
      <c r="C599" s="2" t="s">
        <v>1339</v>
      </c>
      <c r="D599" s="2" t="s">
        <v>1340</v>
      </c>
      <c r="E599" s="3" t="s">
        <v>16</v>
      </c>
      <c r="F599" s="4" t="s">
        <v>17</v>
      </c>
      <c r="G599" s="2" t="s">
        <v>17</v>
      </c>
      <c r="H599" s="5" t="s">
        <v>18</v>
      </c>
      <c r="I599" s="2"/>
      <c r="J599" s="2"/>
      <c r="K599" s="2" t="s">
        <v>19</v>
      </c>
      <c r="L599" s="2"/>
    </row>
    <row r="600" spans="1:12" ht="39" x14ac:dyDescent="0.2">
      <c r="A600" s="2" t="s">
        <v>1118</v>
      </c>
      <c r="B600" s="2" t="s">
        <v>1338</v>
      </c>
      <c r="C600" s="2" t="s">
        <v>1341</v>
      </c>
      <c r="D600" s="2" t="s">
        <v>1342</v>
      </c>
      <c r="E600" s="3" t="s">
        <v>16</v>
      </c>
      <c r="F600" s="4" t="s">
        <v>17</v>
      </c>
      <c r="G600" s="2" t="s">
        <v>17</v>
      </c>
      <c r="H600" s="5" t="s">
        <v>18</v>
      </c>
      <c r="I600" s="2"/>
      <c r="J600" s="2"/>
      <c r="K600" s="2" t="s">
        <v>19</v>
      </c>
      <c r="L600" s="2"/>
    </row>
    <row r="601" spans="1:12" ht="52" x14ac:dyDescent="0.2">
      <c r="A601" s="2" t="s">
        <v>1118</v>
      </c>
      <c r="B601" s="2" t="s">
        <v>1338</v>
      </c>
      <c r="C601" s="2" t="s">
        <v>1343</v>
      </c>
      <c r="D601" s="2" t="s">
        <v>1344</v>
      </c>
      <c r="E601" s="3" t="s">
        <v>16</v>
      </c>
      <c r="F601" s="4" t="s">
        <v>17</v>
      </c>
      <c r="G601" s="2" t="s">
        <v>17</v>
      </c>
      <c r="H601" s="5" t="s">
        <v>18</v>
      </c>
      <c r="I601" s="2"/>
      <c r="J601" s="2"/>
      <c r="K601" s="2" t="s">
        <v>19</v>
      </c>
      <c r="L601" s="2"/>
    </row>
    <row r="602" spans="1:12" ht="39" x14ac:dyDescent="0.2">
      <c r="A602" s="2" t="s">
        <v>1118</v>
      </c>
      <c r="B602" s="2" t="s">
        <v>1338</v>
      </c>
      <c r="C602" s="2" t="s">
        <v>1345</v>
      </c>
      <c r="D602" s="2" t="s">
        <v>1346</v>
      </c>
      <c r="E602" s="3" t="s">
        <v>16</v>
      </c>
      <c r="F602" s="4" t="s">
        <v>17</v>
      </c>
      <c r="G602" s="2" t="s">
        <v>17</v>
      </c>
      <c r="H602" s="5" t="s">
        <v>18</v>
      </c>
      <c r="I602" s="2"/>
      <c r="J602" s="2"/>
      <c r="K602" s="2" t="s">
        <v>19</v>
      </c>
      <c r="L602" s="2"/>
    </row>
    <row r="603" spans="1:12" ht="39" x14ac:dyDescent="0.2">
      <c r="A603" s="2" t="s">
        <v>1118</v>
      </c>
      <c r="B603" s="2" t="s">
        <v>1338</v>
      </c>
      <c r="C603" s="2" t="s">
        <v>1347</v>
      </c>
      <c r="D603" s="2" t="s">
        <v>1348</v>
      </c>
      <c r="E603" s="3" t="s">
        <v>16</v>
      </c>
      <c r="F603" s="4" t="s">
        <v>17</v>
      </c>
      <c r="G603" s="2" t="s">
        <v>17</v>
      </c>
      <c r="H603" s="5" t="s">
        <v>18</v>
      </c>
      <c r="I603" s="2"/>
      <c r="J603" s="2"/>
      <c r="K603" s="2" t="s">
        <v>19</v>
      </c>
      <c r="L603" s="2"/>
    </row>
    <row r="604" spans="1:12" ht="39" x14ac:dyDescent="0.2">
      <c r="A604" s="2" t="s">
        <v>1118</v>
      </c>
      <c r="B604" s="2" t="s">
        <v>1338</v>
      </c>
      <c r="C604" s="2" t="s">
        <v>1349</v>
      </c>
      <c r="D604" s="2" t="s">
        <v>1350</v>
      </c>
      <c r="E604" s="3" t="s">
        <v>16</v>
      </c>
      <c r="F604" s="4" t="s">
        <v>17</v>
      </c>
      <c r="G604" s="2" t="s">
        <v>17</v>
      </c>
      <c r="H604" s="5" t="s">
        <v>18</v>
      </c>
      <c r="I604" s="2"/>
      <c r="J604" s="2"/>
      <c r="K604" s="2" t="s">
        <v>19</v>
      </c>
      <c r="L604" s="2"/>
    </row>
    <row r="605" spans="1:12" ht="26" x14ac:dyDescent="0.2">
      <c r="A605" s="2" t="s">
        <v>1118</v>
      </c>
      <c r="B605" s="2" t="s">
        <v>1338</v>
      </c>
      <c r="C605" s="2" t="s">
        <v>1351</v>
      </c>
      <c r="D605" s="2" t="s">
        <v>1352</v>
      </c>
      <c r="E605" s="3" t="s">
        <v>16</v>
      </c>
      <c r="F605" s="4" t="s">
        <v>17</v>
      </c>
      <c r="G605" s="2" t="s">
        <v>17</v>
      </c>
      <c r="H605" s="5" t="s">
        <v>18</v>
      </c>
      <c r="I605" s="2"/>
      <c r="J605" s="2"/>
      <c r="K605" s="2" t="s">
        <v>19</v>
      </c>
      <c r="L605" s="2"/>
    </row>
    <row r="606" spans="1:12" ht="39" x14ac:dyDescent="0.2">
      <c r="A606" s="2" t="s">
        <v>1118</v>
      </c>
      <c r="B606" s="2" t="s">
        <v>1338</v>
      </c>
      <c r="C606" s="2" t="s">
        <v>1353</v>
      </c>
      <c r="D606" s="2" t="s">
        <v>1354</v>
      </c>
      <c r="E606" s="3" t="s">
        <v>16</v>
      </c>
      <c r="F606" s="4" t="s">
        <v>17</v>
      </c>
      <c r="G606" s="2" t="s">
        <v>17</v>
      </c>
      <c r="H606" s="5" t="s">
        <v>18</v>
      </c>
      <c r="I606" s="2"/>
      <c r="J606" s="2"/>
      <c r="K606" s="2" t="s">
        <v>19</v>
      </c>
      <c r="L606" s="2"/>
    </row>
    <row r="607" spans="1:12" ht="39" x14ac:dyDescent="0.2">
      <c r="A607" s="2" t="s">
        <v>1118</v>
      </c>
      <c r="B607" s="2" t="s">
        <v>1355</v>
      </c>
      <c r="C607" s="2" t="s">
        <v>1356</v>
      </c>
      <c r="D607" s="2" t="s">
        <v>1357</v>
      </c>
      <c r="E607" s="3" t="s">
        <v>16</v>
      </c>
      <c r="F607" s="4" t="s">
        <v>17</v>
      </c>
      <c r="G607" s="2" t="s">
        <v>17</v>
      </c>
      <c r="H607" s="5" t="s">
        <v>18</v>
      </c>
      <c r="I607" s="2"/>
      <c r="J607" s="2"/>
      <c r="K607" s="2" t="s">
        <v>19</v>
      </c>
      <c r="L607" s="2"/>
    </row>
    <row r="608" spans="1:12" ht="39" x14ac:dyDescent="0.2">
      <c r="A608" s="2" t="s">
        <v>1118</v>
      </c>
      <c r="B608" s="2" t="s">
        <v>1355</v>
      </c>
      <c r="C608" s="2" t="s">
        <v>1358</v>
      </c>
      <c r="D608" s="2" t="s">
        <v>1359</v>
      </c>
      <c r="E608" s="3" t="s">
        <v>16</v>
      </c>
      <c r="F608" s="4" t="s">
        <v>17</v>
      </c>
      <c r="G608" s="2" t="s">
        <v>17</v>
      </c>
      <c r="H608" s="5" t="s">
        <v>18</v>
      </c>
      <c r="I608" s="2"/>
      <c r="J608" s="2"/>
      <c r="K608" s="2" t="s">
        <v>19</v>
      </c>
      <c r="L608" s="2"/>
    </row>
    <row r="609" spans="1:12" ht="26" x14ac:dyDescent="0.2">
      <c r="A609" s="2" t="s">
        <v>1118</v>
      </c>
      <c r="B609" s="2" t="s">
        <v>1355</v>
      </c>
      <c r="C609" s="2" t="s">
        <v>1360</v>
      </c>
      <c r="D609" s="2" t="s">
        <v>1361</v>
      </c>
      <c r="E609" s="3" t="s">
        <v>16</v>
      </c>
      <c r="F609" s="4" t="s">
        <v>17</v>
      </c>
      <c r="G609" s="2" t="s">
        <v>17</v>
      </c>
      <c r="H609" s="5" t="s">
        <v>18</v>
      </c>
      <c r="I609" s="2"/>
      <c r="J609" s="2"/>
      <c r="K609" s="2" t="s">
        <v>19</v>
      </c>
      <c r="L609" s="2"/>
    </row>
    <row r="610" spans="1:12" ht="39" x14ac:dyDescent="0.2">
      <c r="A610" s="2" t="s">
        <v>1118</v>
      </c>
      <c r="B610" s="2" t="s">
        <v>1355</v>
      </c>
      <c r="C610" s="2" t="s">
        <v>1362</v>
      </c>
      <c r="D610" s="2" t="s">
        <v>1363</v>
      </c>
      <c r="E610" s="3" t="s">
        <v>16</v>
      </c>
      <c r="F610" s="4" t="s">
        <v>17</v>
      </c>
      <c r="G610" s="2" t="s">
        <v>17</v>
      </c>
      <c r="H610" s="5" t="s">
        <v>18</v>
      </c>
      <c r="I610" s="2"/>
      <c r="J610" s="2"/>
      <c r="K610" s="2" t="s">
        <v>19</v>
      </c>
      <c r="L610" s="2"/>
    </row>
    <row r="611" spans="1:12" ht="39" x14ac:dyDescent="0.2">
      <c r="A611" s="2" t="s">
        <v>1118</v>
      </c>
      <c r="B611" s="2" t="s">
        <v>1355</v>
      </c>
      <c r="C611" s="2" t="s">
        <v>1364</v>
      </c>
      <c r="D611" s="2" t="s">
        <v>1365</v>
      </c>
      <c r="E611" s="3" t="s">
        <v>16</v>
      </c>
      <c r="F611" s="4" t="s">
        <v>17</v>
      </c>
      <c r="G611" s="2" t="s">
        <v>17</v>
      </c>
      <c r="H611" s="5" t="s">
        <v>18</v>
      </c>
      <c r="I611" s="2"/>
      <c r="J611" s="2"/>
      <c r="K611" s="2" t="s">
        <v>19</v>
      </c>
      <c r="L611" s="2"/>
    </row>
    <row r="612" spans="1:12" ht="39" x14ac:dyDescent="0.2">
      <c r="A612" s="2" t="s">
        <v>1118</v>
      </c>
      <c r="B612" s="2" t="s">
        <v>1355</v>
      </c>
      <c r="C612" s="2" t="s">
        <v>1366</v>
      </c>
      <c r="D612" s="2" t="s">
        <v>1367</v>
      </c>
      <c r="E612" s="3" t="s">
        <v>16</v>
      </c>
      <c r="F612" s="4" t="s">
        <v>17</v>
      </c>
      <c r="G612" s="2" t="s">
        <v>17</v>
      </c>
      <c r="H612" s="5" t="s">
        <v>18</v>
      </c>
      <c r="I612" s="2"/>
      <c r="J612" s="2"/>
      <c r="K612" s="2" t="s">
        <v>19</v>
      </c>
      <c r="L612" s="2"/>
    </row>
    <row r="613" spans="1:12" ht="39" x14ac:dyDescent="0.2">
      <c r="A613" s="2" t="s">
        <v>1118</v>
      </c>
      <c r="B613" s="2" t="s">
        <v>1355</v>
      </c>
      <c r="C613" s="2" t="s">
        <v>1368</v>
      </c>
      <c r="D613" s="2" t="s">
        <v>1369</v>
      </c>
      <c r="E613" s="3" t="s">
        <v>16</v>
      </c>
      <c r="F613" s="4" t="s">
        <v>17</v>
      </c>
      <c r="G613" s="2" t="s">
        <v>17</v>
      </c>
      <c r="H613" s="5" t="s">
        <v>18</v>
      </c>
      <c r="I613" s="2"/>
      <c r="J613" s="2"/>
      <c r="K613" s="2" t="s">
        <v>19</v>
      </c>
      <c r="L613" s="2"/>
    </row>
    <row r="614" spans="1:12" ht="39" x14ac:dyDescent="0.2">
      <c r="A614" s="2" t="s">
        <v>1118</v>
      </c>
      <c r="B614" s="2" t="s">
        <v>1355</v>
      </c>
      <c r="C614" s="2" t="s">
        <v>1370</v>
      </c>
      <c r="D614" s="2" t="s">
        <v>1371</v>
      </c>
      <c r="E614" s="3" t="s">
        <v>16</v>
      </c>
      <c r="F614" s="4" t="s">
        <v>17</v>
      </c>
      <c r="G614" s="2" t="s">
        <v>17</v>
      </c>
      <c r="H614" s="5" t="s">
        <v>18</v>
      </c>
      <c r="I614" s="2"/>
      <c r="J614" s="2"/>
      <c r="K614" s="2" t="s">
        <v>19</v>
      </c>
      <c r="L614" s="2"/>
    </row>
    <row r="615" spans="1:12" ht="39" x14ac:dyDescent="0.2">
      <c r="A615" s="2" t="s">
        <v>1118</v>
      </c>
      <c r="B615" s="2" t="s">
        <v>1372</v>
      </c>
      <c r="C615" s="2" t="s">
        <v>1373</v>
      </c>
      <c r="D615" s="2" t="s">
        <v>1374</v>
      </c>
      <c r="E615" s="3" t="s">
        <v>16</v>
      </c>
      <c r="F615" s="4" t="s">
        <v>17</v>
      </c>
      <c r="G615" s="2" t="s">
        <v>17</v>
      </c>
      <c r="H615" s="5" t="s">
        <v>18</v>
      </c>
      <c r="I615" s="2"/>
      <c r="J615" s="2"/>
      <c r="K615" s="2" t="s">
        <v>19</v>
      </c>
      <c r="L615" s="2"/>
    </row>
    <row r="616" spans="1:12" ht="39" x14ac:dyDescent="0.2">
      <c r="A616" s="2" t="s">
        <v>1118</v>
      </c>
      <c r="B616" s="2" t="s">
        <v>1372</v>
      </c>
      <c r="C616" s="2" t="s">
        <v>1375</v>
      </c>
      <c r="D616" s="2" t="s">
        <v>1376</v>
      </c>
      <c r="E616" s="3" t="s">
        <v>16</v>
      </c>
      <c r="F616" s="4" t="s">
        <v>17</v>
      </c>
      <c r="G616" s="2" t="s">
        <v>17</v>
      </c>
      <c r="H616" s="5" t="s">
        <v>18</v>
      </c>
      <c r="I616" s="2"/>
      <c r="J616" s="2"/>
      <c r="K616" s="2" t="s">
        <v>19</v>
      </c>
      <c r="L616" s="2"/>
    </row>
    <row r="617" spans="1:12" ht="65" x14ac:dyDescent="0.2">
      <c r="A617" s="2" t="s">
        <v>1118</v>
      </c>
      <c r="B617" s="2" t="s">
        <v>1372</v>
      </c>
      <c r="C617" s="2" t="s">
        <v>1377</v>
      </c>
      <c r="D617" s="2" t="s">
        <v>1378</v>
      </c>
      <c r="E617" s="3" t="s">
        <v>16</v>
      </c>
      <c r="F617" s="4" t="s">
        <v>17</v>
      </c>
      <c r="G617" s="2" t="s">
        <v>17</v>
      </c>
      <c r="H617" s="5" t="s">
        <v>18</v>
      </c>
      <c r="I617" s="2"/>
      <c r="J617" s="2"/>
      <c r="K617" s="2" t="s">
        <v>19</v>
      </c>
      <c r="L617" s="2"/>
    </row>
    <row r="618" spans="1:12" ht="39" x14ac:dyDescent="0.2">
      <c r="A618" s="2" t="s">
        <v>1118</v>
      </c>
      <c r="B618" s="2" t="s">
        <v>1372</v>
      </c>
      <c r="C618" s="2" t="s">
        <v>1379</v>
      </c>
      <c r="D618" s="2" t="s">
        <v>1380</v>
      </c>
      <c r="E618" s="3" t="s">
        <v>16</v>
      </c>
      <c r="F618" s="4" t="s">
        <v>17</v>
      </c>
      <c r="G618" s="2" t="s">
        <v>17</v>
      </c>
      <c r="H618" s="5" t="s">
        <v>18</v>
      </c>
      <c r="I618" s="2"/>
      <c r="J618" s="2"/>
      <c r="K618" s="2" t="s">
        <v>19</v>
      </c>
      <c r="L618" s="2"/>
    </row>
    <row r="619" spans="1:12" ht="39" x14ac:dyDescent="0.2">
      <c r="A619" s="2" t="s">
        <v>1118</v>
      </c>
      <c r="B619" s="2" t="s">
        <v>1372</v>
      </c>
      <c r="C619" s="2" t="s">
        <v>1381</v>
      </c>
      <c r="D619" s="2" t="s">
        <v>1382</v>
      </c>
      <c r="E619" s="3" t="s">
        <v>16</v>
      </c>
      <c r="F619" s="4" t="s">
        <v>17</v>
      </c>
      <c r="G619" s="2" t="s">
        <v>17</v>
      </c>
      <c r="H619" s="5" t="s">
        <v>18</v>
      </c>
      <c r="I619" s="2"/>
      <c r="J619" s="2"/>
      <c r="K619" s="2" t="s">
        <v>19</v>
      </c>
      <c r="L619" s="2"/>
    </row>
    <row r="620" spans="1:12" ht="39" x14ac:dyDescent="0.2">
      <c r="A620" s="2" t="s">
        <v>1118</v>
      </c>
      <c r="B620" s="2" t="s">
        <v>1372</v>
      </c>
      <c r="C620" s="2" t="s">
        <v>1383</v>
      </c>
      <c r="D620" s="2" t="s">
        <v>1384</v>
      </c>
      <c r="E620" s="3" t="s">
        <v>16</v>
      </c>
      <c r="F620" s="4" t="s">
        <v>17</v>
      </c>
      <c r="G620" s="2" t="s">
        <v>17</v>
      </c>
      <c r="H620" s="5" t="s">
        <v>18</v>
      </c>
      <c r="I620" s="2"/>
      <c r="J620" s="2"/>
      <c r="K620" s="2" t="s">
        <v>19</v>
      </c>
      <c r="L620" s="2"/>
    </row>
    <row r="621" spans="1:12" ht="39" x14ac:dyDescent="0.2">
      <c r="A621" s="2" t="s">
        <v>1118</v>
      </c>
      <c r="B621" s="2" t="s">
        <v>1372</v>
      </c>
      <c r="C621" s="2" t="s">
        <v>1385</v>
      </c>
      <c r="D621" s="2" t="s">
        <v>1386</v>
      </c>
      <c r="E621" s="3" t="s">
        <v>16</v>
      </c>
      <c r="F621" s="4" t="s">
        <v>17</v>
      </c>
      <c r="G621" s="2" t="s">
        <v>17</v>
      </c>
      <c r="H621" s="5" t="s">
        <v>18</v>
      </c>
      <c r="I621" s="2"/>
      <c r="J621" s="2"/>
      <c r="K621" s="2" t="s">
        <v>19</v>
      </c>
      <c r="L621" s="2"/>
    </row>
    <row r="622" spans="1:12" ht="39" x14ac:dyDescent="0.2">
      <c r="A622" s="2" t="s">
        <v>1118</v>
      </c>
      <c r="B622" s="2" t="s">
        <v>1372</v>
      </c>
      <c r="C622" s="2" t="s">
        <v>1387</v>
      </c>
      <c r="D622" s="2" t="s">
        <v>1388</v>
      </c>
      <c r="E622" s="3" t="s">
        <v>16</v>
      </c>
      <c r="F622" s="4" t="s">
        <v>17</v>
      </c>
      <c r="G622" s="2" t="s">
        <v>17</v>
      </c>
      <c r="H622" s="5" t="s">
        <v>18</v>
      </c>
      <c r="I622" s="2"/>
      <c r="J622" s="2"/>
      <c r="K622" s="2" t="s">
        <v>19</v>
      </c>
      <c r="L622" s="2"/>
    </row>
    <row r="623" spans="1:12" ht="39" x14ac:dyDescent="0.2">
      <c r="A623" s="2" t="s">
        <v>1118</v>
      </c>
      <c r="B623" s="2" t="s">
        <v>1372</v>
      </c>
      <c r="C623" s="2" t="s">
        <v>1389</v>
      </c>
      <c r="D623" s="2" t="s">
        <v>1390</v>
      </c>
      <c r="E623" s="3" t="s">
        <v>16</v>
      </c>
      <c r="F623" s="4" t="s">
        <v>17</v>
      </c>
      <c r="G623" s="2" t="s">
        <v>17</v>
      </c>
      <c r="H623" s="5" t="s">
        <v>18</v>
      </c>
      <c r="I623" s="2"/>
      <c r="J623" s="2"/>
      <c r="K623" s="2" t="s">
        <v>19</v>
      </c>
      <c r="L623" s="2"/>
    </row>
    <row r="624" spans="1:12" ht="52" x14ac:dyDescent="0.2">
      <c r="A624" s="2" t="s">
        <v>1118</v>
      </c>
      <c r="B624" s="2" t="s">
        <v>1372</v>
      </c>
      <c r="C624" s="2" t="s">
        <v>1391</v>
      </c>
      <c r="D624" s="2" t="s">
        <v>1392</v>
      </c>
      <c r="E624" s="3" t="s">
        <v>16</v>
      </c>
      <c r="F624" s="4" t="s">
        <v>17</v>
      </c>
      <c r="G624" s="2" t="s">
        <v>17</v>
      </c>
      <c r="H624" s="5" t="s">
        <v>18</v>
      </c>
      <c r="I624" s="2"/>
      <c r="J624" s="2"/>
      <c r="K624" s="2" t="s">
        <v>19</v>
      </c>
      <c r="L624" s="2"/>
    </row>
    <row r="625" spans="1:12" ht="39" x14ac:dyDescent="0.2">
      <c r="A625" s="2" t="s">
        <v>1118</v>
      </c>
      <c r="B625" s="2" t="s">
        <v>1372</v>
      </c>
      <c r="C625" s="2" t="s">
        <v>1393</v>
      </c>
      <c r="D625" s="2" t="s">
        <v>1394</v>
      </c>
      <c r="E625" s="3" t="s">
        <v>16</v>
      </c>
      <c r="F625" s="4" t="s">
        <v>17</v>
      </c>
      <c r="G625" s="2" t="s">
        <v>17</v>
      </c>
      <c r="H625" s="5" t="s">
        <v>18</v>
      </c>
      <c r="I625" s="2"/>
      <c r="J625" s="2"/>
      <c r="K625" s="2" t="s">
        <v>19</v>
      </c>
      <c r="L625" s="2"/>
    </row>
    <row r="626" spans="1:12" ht="39" x14ac:dyDescent="0.2">
      <c r="A626" s="2" t="s">
        <v>1118</v>
      </c>
      <c r="B626" s="2" t="s">
        <v>1372</v>
      </c>
      <c r="C626" s="2" t="s">
        <v>1395</v>
      </c>
      <c r="D626" s="2" t="s">
        <v>1396</v>
      </c>
      <c r="E626" s="3" t="s">
        <v>16</v>
      </c>
      <c r="F626" s="4" t="s">
        <v>17</v>
      </c>
      <c r="G626" s="2" t="s">
        <v>17</v>
      </c>
      <c r="H626" s="5" t="s">
        <v>18</v>
      </c>
      <c r="I626" s="2"/>
      <c r="J626" s="2"/>
      <c r="K626" s="2" t="s">
        <v>19</v>
      </c>
      <c r="L626" s="2"/>
    </row>
    <row r="627" spans="1:12" ht="39" x14ac:dyDescent="0.2">
      <c r="A627" s="2" t="s">
        <v>1118</v>
      </c>
      <c r="B627" s="2" t="s">
        <v>1397</v>
      </c>
      <c r="C627" s="2" t="s">
        <v>1398</v>
      </c>
      <c r="D627" s="2" t="s">
        <v>1399</v>
      </c>
      <c r="E627" s="3" t="s">
        <v>16</v>
      </c>
      <c r="F627" s="4" t="s">
        <v>17</v>
      </c>
      <c r="G627" s="2" t="s">
        <v>17</v>
      </c>
      <c r="H627" s="5" t="s">
        <v>18</v>
      </c>
      <c r="I627" s="2"/>
      <c r="J627" s="2"/>
      <c r="K627" s="2" t="s">
        <v>19</v>
      </c>
      <c r="L627" s="2"/>
    </row>
    <row r="628" spans="1:12" ht="91" x14ac:dyDescent="0.2">
      <c r="A628" s="2" t="s">
        <v>1118</v>
      </c>
      <c r="B628" s="2" t="s">
        <v>1397</v>
      </c>
      <c r="C628" s="2" t="s">
        <v>1400</v>
      </c>
      <c r="D628" s="2" t="s">
        <v>1401</v>
      </c>
      <c r="E628" s="3" t="s">
        <v>16</v>
      </c>
      <c r="F628" s="4" t="s">
        <v>17</v>
      </c>
      <c r="G628" s="2" t="s">
        <v>17</v>
      </c>
      <c r="H628" s="5" t="s">
        <v>18</v>
      </c>
      <c r="I628" s="2"/>
      <c r="J628" s="2"/>
      <c r="K628" s="2" t="s">
        <v>19</v>
      </c>
      <c r="L628" s="2"/>
    </row>
    <row r="629" spans="1:12" ht="26" x14ac:dyDescent="0.2">
      <c r="A629" s="2" t="s">
        <v>1118</v>
      </c>
      <c r="B629" s="2" t="s">
        <v>1397</v>
      </c>
      <c r="C629" s="2" t="s">
        <v>1402</v>
      </c>
      <c r="D629" s="2" t="s">
        <v>1403</v>
      </c>
      <c r="E629" s="3" t="s">
        <v>16</v>
      </c>
      <c r="F629" s="4" t="s">
        <v>17</v>
      </c>
      <c r="G629" s="2" t="s">
        <v>17</v>
      </c>
      <c r="H629" s="5" t="s">
        <v>18</v>
      </c>
      <c r="I629" s="2"/>
      <c r="J629" s="2"/>
      <c r="K629" s="2" t="s">
        <v>19</v>
      </c>
      <c r="L629" s="2"/>
    </row>
    <row r="630" spans="1:12" ht="39" x14ac:dyDescent="0.2">
      <c r="A630" s="2" t="s">
        <v>1118</v>
      </c>
      <c r="B630" s="2" t="s">
        <v>1397</v>
      </c>
      <c r="C630" s="2" t="s">
        <v>1404</v>
      </c>
      <c r="D630" s="2" t="s">
        <v>1405</v>
      </c>
      <c r="E630" s="3" t="s">
        <v>16</v>
      </c>
      <c r="F630" s="4" t="s">
        <v>17</v>
      </c>
      <c r="G630" s="2" t="s">
        <v>17</v>
      </c>
      <c r="H630" s="5" t="s">
        <v>18</v>
      </c>
      <c r="I630" s="2"/>
      <c r="J630" s="2"/>
      <c r="K630" s="2" t="s">
        <v>19</v>
      </c>
      <c r="L630" s="2"/>
    </row>
    <row r="631" spans="1:12" ht="39" x14ac:dyDescent="0.2">
      <c r="A631" s="2" t="s">
        <v>1118</v>
      </c>
      <c r="B631" s="2" t="s">
        <v>1397</v>
      </c>
      <c r="C631" s="2" t="s">
        <v>1406</v>
      </c>
      <c r="D631" s="2" t="s">
        <v>1407</v>
      </c>
      <c r="E631" s="3" t="s">
        <v>16</v>
      </c>
      <c r="F631" s="4" t="s">
        <v>17</v>
      </c>
      <c r="G631" s="2" t="s">
        <v>17</v>
      </c>
      <c r="H631" s="5" t="s">
        <v>18</v>
      </c>
      <c r="I631" s="2"/>
      <c r="J631" s="2"/>
      <c r="K631" s="2" t="s">
        <v>19</v>
      </c>
      <c r="L631" s="2"/>
    </row>
    <row r="632" spans="1:12" ht="39" x14ac:dyDescent="0.2">
      <c r="A632" s="2" t="s">
        <v>1118</v>
      </c>
      <c r="B632" s="2" t="s">
        <v>1397</v>
      </c>
      <c r="C632" s="2" t="s">
        <v>1408</v>
      </c>
      <c r="D632" s="2" t="s">
        <v>1409</v>
      </c>
      <c r="E632" s="3" t="s">
        <v>16</v>
      </c>
      <c r="F632" s="4" t="s">
        <v>17</v>
      </c>
      <c r="G632" s="2" t="s">
        <v>17</v>
      </c>
      <c r="H632" s="5" t="s">
        <v>18</v>
      </c>
      <c r="I632" s="2"/>
      <c r="J632" s="2"/>
      <c r="K632" s="2" t="s">
        <v>19</v>
      </c>
      <c r="L632" s="2"/>
    </row>
    <row r="633" spans="1:12" ht="39" x14ac:dyDescent="0.2">
      <c r="A633" s="2" t="s">
        <v>1118</v>
      </c>
      <c r="B633" s="2" t="s">
        <v>1397</v>
      </c>
      <c r="C633" s="2" t="s">
        <v>1410</v>
      </c>
      <c r="D633" s="2" t="s">
        <v>1411</v>
      </c>
      <c r="E633" s="3" t="s">
        <v>16</v>
      </c>
      <c r="F633" s="4" t="s">
        <v>17</v>
      </c>
      <c r="G633" s="2" t="s">
        <v>17</v>
      </c>
      <c r="H633" s="5" t="s">
        <v>18</v>
      </c>
      <c r="I633" s="2"/>
      <c r="J633" s="2"/>
      <c r="K633" s="2" t="s">
        <v>19</v>
      </c>
      <c r="L633" s="2"/>
    </row>
    <row r="634" spans="1:12" ht="39" x14ac:dyDescent="0.2">
      <c r="A634" s="2" t="s">
        <v>1118</v>
      </c>
      <c r="B634" s="2" t="s">
        <v>1397</v>
      </c>
      <c r="C634" s="2" t="s">
        <v>1412</v>
      </c>
      <c r="D634" s="2" t="s">
        <v>1413</v>
      </c>
      <c r="E634" s="3" t="s">
        <v>16</v>
      </c>
      <c r="F634" s="4" t="s">
        <v>17</v>
      </c>
      <c r="G634" s="2" t="s">
        <v>17</v>
      </c>
      <c r="H634" s="5" t="s">
        <v>18</v>
      </c>
      <c r="I634" s="2"/>
      <c r="J634" s="2"/>
      <c r="K634" s="2" t="s">
        <v>19</v>
      </c>
      <c r="L634" s="2"/>
    </row>
    <row r="635" spans="1:12" ht="39" x14ac:dyDescent="0.2">
      <c r="A635" s="2" t="s">
        <v>1118</v>
      </c>
      <c r="B635" s="2" t="s">
        <v>1414</v>
      </c>
      <c r="C635" s="2" t="s">
        <v>1415</v>
      </c>
      <c r="D635" s="2" t="s">
        <v>1416</v>
      </c>
      <c r="E635" s="3" t="s">
        <v>16</v>
      </c>
      <c r="F635" s="4" t="s">
        <v>17</v>
      </c>
      <c r="G635" s="2" t="s">
        <v>17</v>
      </c>
      <c r="H635" s="5" t="s">
        <v>18</v>
      </c>
      <c r="I635" s="2"/>
      <c r="J635" s="2"/>
      <c r="K635" s="2" t="s">
        <v>19</v>
      </c>
      <c r="L635" s="2"/>
    </row>
    <row r="636" spans="1:12" ht="39" x14ac:dyDescent="0.2">
      <c r="A636" s="2" t="s">
        <v>1118</v>
      </c>
      <c r="B636" s="2" t="s">
        <v>1414</v>
      </c>
      <c r="C636" s="2" t="s">
        <v>1417</v>
      </c>
      <c r="D636" s="2" t="s">
        <v>1418</v>
      </c>
      <c r="E636" s="3" t="s">
        <v>16</v>
      </c>
      <c r="F636" s="4" t="s">
        <v>17</v>
      </c>
      <c r="G636" s="2" t="s">
        <v>17</v>
      </c>
      <c r="H636" s="5" t="s">
        <v>18</v>
      </c>
      <c r="I636" s="2"/>
      <c r="J636" s="2"/>
      <c r="K636" s="2" t="s">
        <v>19</v>
      </c>
      <c r="L636" s="2"/>
    </row>
    <row r="637" spans="1:12" ht="39" x14ac:dyDescent="0.2">
      <c r="A637" s="2" t="s">
        <v>1118</v>
      </c>
      <c r="B637" s="2" t="s">
        <v>1414</v>
      </c>
      <c r="C637" s="2" t="s">
        <v>1419</v>
      </c>
      <c r="D637" s="2" t="s">
        <v>1420</v>
      </c>
      <c r="E637" s="3" t="s">
        <v>16</v>
      </c>
      <c r="F637" s="4" t="s">
        <v>17</v>
      </c>
      <c r="G637" s="2" t="s">
        <v>17</v>
      </c>
      <c r="H637" s="5" t="s">
        <v>18</v>
      </c>
      <c r="I637" s="2"/>
      <c r="J637" s="2"/>
      <c r="K637" s="2" t="s">
        <v>19</v>
      </c>
      <c r="L637" s="2"/>
    </row>
    <row r="638" spans="1:12" ht="39" x14ac:dyDescent="0.2">
      <c r="A638" s="2" t="s">
        <v>1118</v>
      </c>
      <c r="B638" s="2" t="s">
        <v>1414</v>
      </c>
      <c r="C638" s="2" t="s">
        <v>1421</v>
      </c>
      <c r="D638" s="2" t="s">
        <v>1422</v>
      </c>
      <c r="E638" s="3" t="s">
        <v>16</v>
      </c>
      <c r="F638" s="4" t="s">
        <v>17</v>
      </c>
      <c r="G638" s="2" t="s">
        <v>17</v>
      </c>
      <c r="H638" s="5" t="s">
        <v>18</v>
      </c>
      <c r="I638" s="2"/>
      <c r="J638" s="2"/>
      <c r="K638" s="2" t="s">
        <v>19</v>
      </c>
      <c r="L638" s="2"/>
    </row>
    <row r="639" spans="1:12" ht="39" x14ac:dyDescent="0.2">
      <c r="A639" s="2" t="s">
        <v>1118</v>
      </c>
      <c r="B639" s="2" t="s">
        <v>1414</v>
      </c>
      <c r="C639" s="2" t="s">
        <v>1423</v>
      </c>
      <c r="D639" s="2" t="s">
        <v>1424</v>
      </c>
      <c r="E639" s="3" t="s">
        <v>16</v>
      </c>
      <c r="F639" s="4" t="s">
        <v>17</v>
      </c>
      <c r="G639" s="2" t="s">
        <v>17</v>
      </c>
      <c r="H639" s="5" t="s">
        <v>18</v>
      </c>
      <c r="I639" s="2"/>
      <c r="J639" s="2"/>
      <c r="K639" s="2" t="s">
        <v>19</v>
      </c>
      <c r="L639" s="2"/>
    </row>
    <row r="640" spans="1:12" ht="39" x14ac:dyDescent="0.2">
      <c r="A640" s="2" t="s">
        <v>1118</v>
      </c>
      <c r="B640" s="2" t="s">
        <v>1414</v>
      </c>
      <c r="C640" s="2" t="s">
        <v>1425</v>
      </c>
      <c r="D640" s="2" t="s">
        <v>1426</v>
      </c>
      <c r="E640" s="3" t="s">
        <v>16</v>
      </c>
      <c r="F640" s="4" t="s">
        <v>17</v>
      </c>
      <c r="G640" s="2" t="s">
        <v>17</v>
      </c>
      <c r="H640" s="5" t="s">
        <v>18</v>
      </c>
      <c r="I640" s="2"/>
      <c r="J640" s="2"/>
      <c r="K640" s="2" t="s">
        <v>19</v>
      </c>
      <c r="L640" s="2"/>
    </row>
    <row r="641" spans="1:12" ht="26" x14ac:dyDescent="0.2">
      <c r="A641" s="2" t="s">
        <v>1118</v>
      </c>
      <c r="B641" s="2" t="s">
        <v>1414</v>
      </c>
      <c r="C641" s="2" t="s">
        <v>1427</v>
      </c>
      <c r="D641" s="2" t="s">
        <v>1428</v>
      </c>
      <c r="E641" s="3" t="s">
        <v>16</v>
      </c>
      <c r="F641" s="4" t="s">
        <v>17</v>
      </c>
      <c r="G641" s="2" t="s">
        <v>17</v>
      </c>
      <c r="H641" s="5" t="s">
        <v>18</v>
      </c>
      <c r="I641" s="2"/>
      <c r="J641" s="2"/>
      <c r="K641" s="2" t="s">
        <v>19</v>
      </c>
      <c r="L641" s="2"/>
    </row>
    <row r="642" spans="1:12" ht="26" x14ac:dyDescent="0.2">
      <c r="A642" s="2" t="s">
        <v>1118</v>
      </c>
      <c r="B642" s="2" t="s">
        <v>1414</v>
      </c>
      <c r="C642" s="2" t="s">
        <v>1429</v>
      </c>
      <c r="D642" s="2" t="s">
        <v>1430</v>
      </c>
      <c r="E642" s="3" t="s">
        <v>16</v>
      </c>
      <c r="F642" s="4" t="s">
        <v>17</v>
      </c>
      <c r="G642" s="2" t="s">
        <v>17</v>
      </c>
      <c r="H642" s="5" t="s">
        <v>18</v>
      </c>
      <c r="I642" s="2"/>
      <c r="J642" s="2"/>
      <c r="K642" s="2" t="s">
        <v>19</v>
      </c>
      <c r="L642" s="2"/>
    </row>
    <row r="643" spans="1:12" ht="78" x14ac:dyDescent="0.2">
      <c r="A643" s="2" t="s">
        <v>1118</v>
      </c>
      <c r="B643" s="2" t="s">
        <v>1431</v>
      </c>
      <c r="C643" s="2" t="s">
        <v>1432</v>
      </c>
      <c r="D643" s="2" t="s">
        <v>1433</v>
      </c>
      <c r="E643" s="3" t="s">
        <v>16</v>
      </c>
      <c r="F643" s="4" t="s">
        <v>17</v>
      </c>
      <c r="G643" s="2" t="s">
        <v>17</v>
      </c>
      <c r="H643" s="5" t="s">
        <v>18</v>
      </c>
      <c r="I643" s="2"/>
      <c r="J643" s="2"/>
      <c r="K643" s="2" t="s">
        <v>19</v>
      </c>
      <c r="L643" s="2"/>
    </row>
    <row r="644" spans="1:12" ht="52" x14ac:dyDescent="0.2">
      <c r="A644" s="2" t="s">
        <v>1118</v>
      </c>
      <c r="B644" s="2" t="s">
        <v>1431</v>
      </c>
      <c r="C644" s="2" t="s">
        <v>1434</v>
      </c>
      <c r="D644" s="2" t="s">
        <v>1435</v>
      </c>
      <c r="E644" s="3" t="s">
        <v>16</v>
      </c>
      <c r="F644" s="4" t="s">
        <v>17</v>
      </c>
      <c r="G644" s="2" t="s">
        <v>17</v>
      </c>
      <c r="H644" s="5" t="s">
        <v>18</v>
      </c>
      <c r="I644" s="2"/>
      <c r="J644" s="2"/>
      <c r="K644" s="2" t="s">
        <v>19</v>
      </c>
      <c r="L644" s="2"/>
    </row>
    <row r="645" spans="1:12" ht="52" x14ac:dyDescent="0.2">
      <c r="A645" s="2" t="s">
        <v>1118</v>
      </c>
      <c r="B645" s="2" t="s">
        <v>1431</v>
      </c>
      <c r="C645" s="2" t="s">
        <v>1436</v>
      </c>
      <c r="D645" s="2" t="s">
        <v>1437</v>
      </c>
      <c r="E645" s="3" t="s">
        <v>16</v>
      </c>
      <c r="F645" s="4" t="s">
        <v>17</v>
      </c>
      <c r="G645" s="2" t="s">
        <v>17</v>
      </c>
      <c r="H645" s="5" t="s">
        <v>18</v>
      </c>
      <c r="I645" s="2"/>
      <c r="J645" s="2"/>
      <c r="K645" s="2" t="s">
        <v>19</v>
      </c>
      <c r="L645" s="2"/>
    </row>
    <row r="646" spans="1:12" ht="52" x14ac:dyDescent="0.2">
      <c r="A646" s="2" t="s">
        <v>1118</v>
      </c>
      <c r="B646" s="2" t="s">
        <v>1431</v>
      </c>
      <c r="C646" s="2" t="s">
        <v>1438</v>
      </c>
      <c r="D646" s="2" t="s">
        <v>1439</v>
      </c>
      <c r="E646" s="3" t="s">
        <v>16</v>
      </c>
      <c r="F646" s="4" t="s">
        <v>17</v>
      </c>
      <c r="G646" s="2" t="s">
        <v>17</v>
      </c>
      <c r="H646" s="5" t="s">
        <v>18</v>
      </c>
      <c r="I646" s="2"/>
      <c r="J646" s="2"/>
      <c r="K646" s="2" t="s">
        <v>19</v>
      </c>
      <c r="L646" s="2"/>
    </row>
    <row r="647" spans="1:12" ht="39" x14ac:dyDescent="0.2">
      <c r="A647" s="2" t="s">
        <v>1118</v>
      </c>
      <c r="B647" s="2" t="s">
        <v>1431</v>
      </c>
      <c r="C647" s="2" t="s">
        <v>1440</v>
      </c>
      <c r="D647" s="2" t="s">
        <v>1441</v>
      </c>
      <c r="E647" s="3" t="s">
        <v>16</v>
      </c>
      <c r="F647" s="4" t="s">
        <v>17</v>
      </c>
      <c r="G647" s="2" t="s">
        <v>17</v>
      </c>
      <c r="H647" s="5" t="s">
        <v>18</v>
      </c>
      <c r="I647" s="2"/>
      <c r="J647" s="2"/>
      <c r="K647" s="2" t="s">
        <v>19</v>
      </c>
      <c r="L647" s="2"/>
    </row>
    <row r="648" spans="1:12" ht="39" x14ac:dyDescent="0.2">
      <c r="A648" s="2" t="s">
        <v>1118</v>
      </c>
      <c r="B648" s="2" t="s">
        <v>1431</v>
      </c>
      <c r="C648" s="2" t="s">
        <v>1442</v>
      </c>
      <c r="D648" s="2" t="s">
        <v>1443</v>
      </c>
      <c r="E648" s="3" t="s">
        <v>16</v>
      </c>
      <c r="F648" s="4" t="s">
        <v>17</v>
      </c>
      <c r="G648" s="2" t="s">
        <v>17</v>
      </c>
      <c r="H648" s="5" t="s">
        <v>18</v>
      </c>
      <c r="I648" s="2"/>
      <c r="J648" s="2"/>
      <c r="K648" s="2" t="s">
        <v>19</v>
      </c>
      <c r="L648" s="2"/>
    </row>
    <row r="649" spans="1:12" ht="39" x14ac:dyDescent="0.2">
      <c r="A649" s="2" t="s">
        <v>1118</v>
      </c>
      <c r="B649" s="2" t="s">
        <v>1431</v>
      </c>
      <c r="C649" s="2" t="s">
        <v>1444</v>
      </c>
      <c r="D649" s="2" t="s">
        <v>1445</v>
      </c>
      <c r="E649" s="3" t="s">
        <v>16</v>
      </c>
      <c r="F649" s="4" t="s">
        <v>17</v>
      </c>
      <c r="G649" s="2" t="s">
        <v>17</v>
      </c>
      <c r="H649" s="5" t="s">
        <v>18</v>
      </c>
      <c r="I649" s="2"/>
      <c r="J649" s="2"/>
      <c r="K649" s="2" t="s">
        <v>19</v>
      </c>
      <c r="L649" s="2"/>
    </row>
    <row r="650" spans="1:12" ht="39" x14ac:dyDescent="0.2">
      <c r="A650" s="2" t="s">
        <v>1118</v>
      </c>
      <c r="B650" s="2" t="s">
        <v>1431</v>
      </c>
      <c r="C650" s="2" t="s">
        <v>1446</v>
      </c>
      <c r="D650" s="2" t="s">
        <v>1447</v>
      </c>
      <c r="E650" s="3" t="s">
        <v>16</v>
      </c>
      <c r="F650" s="4" t="s">
        <v>17</v>
      </c>
      <c r="G650" s="2" t="s">
        <v>17</v>
      </c>
      <c r="H650" s="5" t="s">
        <v>18</v>
      </c>
      <c r="I650" s="2"/>
      <c r="J650" s="2"/>
      <c r="K650" s="2" t="s">
        <v>19</v>
      </c>
      <c r="L650" s="2"/>
    </row>
    <row r="651" spans="1:12" ht="39" x14ac:dyDescent="0.2">
      <c r="A651" s="2" t="s">
        <v>1118</v>
      </c>
      <c r="B651" s="2" t="s">
        <v>1431</v>
      </c>
      <c r="C651" s="2" t="s">
        <v>1448</v>
      </c>
      <c r="D651" s="2" t="s">
        <v>1449</v>
      </c>
      <c r="E651" s="3" t="s">
        <v>16</v>
      </c>
      <c r="F651" s="4" t="s">
        <v>17</v>
      </c>
      <c r="G651" s="2" t="s">
        <v>17</v>
      </c>
      <c r="H651" s="5" t="s">
        <v>18</v>
      </c>
      <c r="I651" s="2"/>
      <c r="J651" s="2"/>
      <c r="K651" s="2" t="s">
        <v>19</v>
      </c>
      <c r="L651" s="2"/>
    </row>
    <row r="652" spans="1:12" ht="39" x14ac:dyDescent="0.2">
      <c r="A652" s="2" t="s">
        <v>1118</v>
      </c>
      <c r="B652" s="2" t="s">
        <v>1431</v>
      </c>
      <c r="C652" s="2" t="s">
        <v>1450</v>
      </c>
      <c r="D652" s="2" t="s">
        <v>1451</v>
      </c>
      <c r="E652" s="3" t="s">
        <v>16</v>
      </c>
      <c r="F652" s="4" t="s">
        <v>17</v>
      </c>
      <c r="G652" s="2" t="s">
        <v>17</v>
      </c>
      <c r="H652" s="5" t="s">
        <v>18</v>
      </c>
      <c r="I652" s="2"/>
      <c r="J652" s="2"/>
      <c r="K652" s="2" t="s">
        <v>19</v>
      </c>
      <c r="L652" s="2"/>
    </row>
    <row r="653" spans="1:12" ht="39" x14ac:dyDescent="0.2">
      <c r="A653" s="2" t="s">
        <v>1118</v>
      </c>
      <c r="B653" s="2" t="s">
        <v>1452</v>
      </c>
      <c r="C653" s="2" t="s">
        <v>1453</v>
      </c>
      <c r="D653" s="2" t="s">
        <v>1454</v>
      </c>
      <c r="E653" s="3" t="s">
        <v>16</v>
      </c>
      <c r="F653" s="4" t="s">
        <v>17</v>
      </c>
      <c r="G653" s="2" t="s">
        <v>17</v>
      </c>
      <c r="H653" s="5" t="s">
        <v>18</v>
      </c>
      <c r="I653" s="2"/>
      <c r="J653" s="2"/>
      <c r="K653" s="2" t="s">
        <v>19</v>
      </c>
      <c r="L653" s="2"/>
    </row>
    <row r="654" spans="1:12" ht="39" x14ac:dyDescent="0.2">
      <c r="A654" s="2" t="s">
        <v>1118</v>
      </c>
      <c r="B654" s="2" t="s">
        <v>1452</v>
      </c>
      <c r="C654" s="2" t="s">
        <v>1455</v>
      </c>
      <c r="D654" s="2" t="s">
        <v>1456</v>
      </c>
      <c r="E654" s="3" t="s">
        <v>16</v>
      </c>
      <c r="F654" s="4" t="s">
        <v>17</v>
      </c>
      <c r="G654" s="2" t="s">
        <v>17</v>
      </c>
      <c r="H654" s="5" t="s">
        <v>18</v>
      </c>
      <c r="I654" s="2"/>
      <c r="J654" s="2"/>
      <c r="K654" s="2" t="s">
        <v>19</v>
      </c>
      <c r="L654" s="2"/>
    </row>
    <row r="655" spans="1:12" ht="52" x14ac:dyDescent="0.2">
      <c r="A655" s="2" t="s">
        <v>1118</v>
      </c>
      <c r="B655" s="2" t="s">
        <v>1452</v>
      </c>
      <c r="C655" s="2" t="s">
        <v>1457</v>
      </c>
      <c r="D655" s="2" t="s">
        <v>1458</v>
      </c>
      <c r="E655" s="3" t="s">
        <v>16</v>
      </c>
      <c r="F655" s="4" t="s">
        <v>17</v>
      </c>
      <c r="G655" s="2" t="s">
        <v>17</v>
      </c>
      <c r="H655" s="5" t="s">
        <v>18</v>
      </c>
      <c r="I655" s="2"/>
      <c r="J655" s="2"/>
      <c r="K655" s="2" t="s">
        <v>19</v>
      </c>
      <c r="L655" s="2"/>
    </row>
    <row r="656" spans="1:12" ht="39" x14ac:dyDescent="0.2">
      <c r="A656" s="2" t="s">
        <v>1118</v>
      </c>
      <c r="B656" s="2" t="s">
        <v>1452</v>
      </c>
      <c r="C656" s="2" t="s">
        <v>1459</v>
      </c>
      <c r="D656" s="2" t="s">
        <v>1460</v>
      </c>
      <c r="E656" s="3" t="s">
        <v>16</v>
      </c>
      <c r="F656" s="4" t="s">
        <v>17</v>
      </c>
      <c r="G656" s="2" t="s">
        <v>17</v>
      </c>
      <c r="H656" s="5" t="s">
        <v>18</v>
      </c>
      <c r="I656" s="2"/>
      <c r="J656" s="2"/>
      <c r="K656" s="2" t="s">
        <v>19</v>
      </c>
      <c r="L656" s="2"/>
    </row>
    <row r="657" spans="1:12" ht="39" x14ac:dyDescent="0.2">
      <c r="A657" s="2" t="s">
        <v>1118</v>
      </c>
      <c r="B657" s="2" t="s">
        <v>1452</v>
      </c>
      <c r="C657" s="2" t="s">
        <v>1461</v>
      </c>
      <c r="D657" s="2" t="s">
        <v>1462</v>
      </c>
      <c r="E657" s="3" t="s">
        <v>16</v>
      </c>
      <c r="F657" s="4" t="s">
        <v>17</v>
      </c>
      <c r="G657" s="2" t="s">
        <v>17</v>
      </c>
      <c r="H657" s="5" t="s">
        <v>18</v>
      </c>
      <c r="I657" s="2"/>
      <c r="J657" s="2"/>
      <c r="K657" s="2" t="s">
        <v>19</v>
      </c>
      <c r="L657" s="2"/>
    </row>
    <row r="658" spans="1:12" ht="39" x14ac:dyDescent="0.2">
      <c r="A658" s="2" t="s">
        <v>1118</v>
      </c>
      <c r="B658" s="2" t="s">
        <v>1452</v>
      </c>
      <c r="C658" s="2" t="s">
        <v>1463</v>
      </c>
      <c r="D658" s="2" t="s">
        <v>1464</v>
      </c>
      <c r="E658" s="3" t="s">
        <v>16</v>
      </c>
      <c r="F658" s="4" t="s">
        <v>17</v>
      </c>
      <c r="G658" s="2" t="s">
        <v>17</v>
      </c>
      <c r="H658" s="5" t="s">
        <v>18</v>
      </c>
      <c r="I658" s="2"/>
      <c r="J658" s="2"/>
      <c r="K658" s="2" t="s">
        <v>19</v>
      </c>
      <c r="L658" s="2"/>
    </row>
    <row r="659" spans="1:12" ht="26" x14ac:dyDescent="0.2">
      <c r="A659" s="2" t="s">
        <v>1118</v>
      </c>
      <c r="B659" s="2" t="s">
        <v>1452</v>
      </c>
      <c r="C659" s="2" t="s">
        <v>1465</v>
      </c>
      <c r="D659" s="2" t="s">
        <v>1466</v>
      </c>
      <c r="E659" s="3" t="s">
        <v>16</v>
      </c>
      <c r="F659" s="4" t="s">
        <v>17</v>
      </c>
      <c r="G659" s="2" t="s">
        <v>17</v>
      </c>
      <c r="H659" s="5" t="s">
        <v>18</v>
      </c>
      <c r="I659" s="2"/>
      <c r="J659" s="2"/>
      <c r="K659" s="2" t="s">
        <v>19</v>
      </c>
      <c r="L659" s="2"/>
    </row>
    <row r="660" spans="1:12" ht="39" x14ac:dyDescent="0.2">
      <c r="A660" s="2" t="s">
        <v>1118</v>
      </c>
      <c r="B660" s="2" t="s">
        <v>1452</v>
      </c>
      <c r="C660" s="2" t="s">
        <v>1467</v>
      </c>
      <c r="D660" s="2" t="s">
        <v>1468</v>
      </c>
      <c r="E660" s="3" t="s">
        <v>16</v>
      </c>
      <c r="F660" s="4" t="s">
        <v>17</v>
      </c>
      <c r="G660" s="2" t="s">
        <v>17</v>
      </c>
      <c r="H660" s="5" t="s">
        <v>18</v>
      </c>
      <c r="I660" s="2"/>
      <c r="J660" s="2"/>
      <c r="K660" s="2" t="s">
        <v>19</v>
      </c>
      <c r="L660" s="2"/>
    </row>
    <row r="661" spans="1:12" ht="39" x14ac:dyDescent="0.2">
      <c r="A661" s="2" t="s">
        <v>1118</v>
      </c>
      <c r="B661" s="2" t="s">
        <v>1469</v>
      </c>
      <c r="C661" s="2" t="s">
        <v>1470</v>
      </c>
      <c r="D661" s="2" t="s">
        <v>1471</v>
      </c>
      <c r="E661" s="3" t="s">
        <v>16</v>
      </c>
      <c r="F661" s="4" t="s">
        <v>17</v>
      </c>
      <c r="G661" s="2" t="s">
        <v>17</v>
      </c>
      <c r="H661" s="5" t="s">
        <v>18</v>
      </c>
      <c r="I661" s="2"/>
      <c r="J661" s="2"/>
      <c r="K661" s="2" t="s">
        <v>19</v>
      </c>
      <c r="L661" s="2"/>
    </row>
    <row r="662" spans="1:12" ht="39" x14ac:dyDescent="0.2">
      <c r="A662" s="2" t="s">
        <v>1118</v>
      </c>
      <c r="B662" s="2" t="s">
        <v>1469</v>
      </c>
      <c r="C662" s="2" t="s">
        <v>1472</v>
      </c>
      <c r="D662" s="2" t="s">
        <v>1473</v>
      </c>
      <c r="E662" s="3" t="s">
        <v>16</v>
      </c>
      <c r="F662" s="4" t="s">
        <v>17</v>
      </c>
      <c r="G662" s="2" t="s">
        <v>17</v>
      </c>
      <c r="H662" s="5" t="s">
        <v>18</v>
      </c>
      <c r="I662" s="2"/>
      <c r="J662" s="2"/>
      <c r="K662" s="2" t="s">
        <v>19</v>
      </c>
      <c r="L662" s="2"/>
    </row>
    <row r="663" spans="1:12" ht="39" x14ac:dyDescent="0.2">
      <c r="A663" s="2" t="s">
        <v>1118</v>
      </c>
      <c r="B663" s="2" t="s">
        <v>1469</v>
      </c>
      <c r="C663" s="2" t="s">
        <v>1474</v>
      </c>
      <c r="D663" s="2" t="s">
        <v>1475</v>
      </c>
      <c r="E663" s="3" t="s">
        <v>16</v>
      </c>
      <c r="F663" s="4" t="s">
        <v>17</v>
      </c>
      <c r="G663" s="2" t="s">
        <v>17</v>
      </c>
      <c r="H663" s="5" t="s">
        <v>18</v>
      </c>
      <c r="I663" s="2"/>
      <c r="J663" s="2"/>
      <c r="K663" s="2" t="s">
        <v>19</v>
      </c>
      <c r="L663" s="2"/>
    </row>
    <row r="664" spans="1:12" ht="39" x14ac:dyDescent="0.2">
      <c r="A664" s="2" t="s">
        <v>1118</v>
      </c>
      <c r="B664" s="2" t="s">
        <v>1469</v>
      </c>
      <c r="C664" s="2" t="s">
        <v>1476</v>
      </c>
      <c r="D664" s="2" t="s">
        <v>1477</v>
      </c>
      <c r="E664" s="3" t="s">
        <v>16</v>
      </c>
      <c r="F664" s="4" t="s">
        <v>17</v>
      </c>
      <c r="G664" s="2" t="s">
        <v>17</v>
      </c>
      <c r="H664" s="5" t="s">
        <v>18</v>
      </c>
      <c r="I664" s="2"/>
      <c r="J664" s="2"/>
      <c r="K664" s="2" t="s">
        <v>19</v>
      </c>
      <c r="L664" s="2"/>
    </row>
    <row r="665" spans="1:12" ht="26" x14ac:dyDescent="0.2">
      <c r="A665" s="2" t="s">
        <v>1118</v>
      </c>
      <c r="B665" s="2" t="s">
        <v>1469</v>
      </c>
      <c r="C665" s="2" t="s">
        <v>1478</v>
      </c>
      <c r="D665" s="2" t="s">
        <v>1479</v>
      </c>
      <c r="E665" s="3" t="s">
        <v>16</v>
      </c>
      <c r="F665" s="4" t="s">
        <v>17</v>
      </c>
      <c r="G665" s="2" t="s">
        <v>17</v>
      </c>
      <c r="H665" s="5" t="s">
        <v>18</v>
      </c>
      <c r="I665" s="2"/>
      <c r="J665" s="2"/>
      <c r="K665" s="2" t="s">
        <v>19</v>
      </c>
      <c r="L665" s="2"/>
    </row>
    <row r="666" spans="1:12" ht="39" x14ac:dyDescent="0.2">
      <c r="A666" s="2" t="s">
        <v>1118</v>
      </c>
      <c r="B666" s="2" t="s">
        <v>1469</v>
      </c>
      <c r="C666" s="2" t="s">
        <v>1480</v>
      </c>
      <c r="D666" s="2" t="s">
        <v>1481</v>
      </c>
      <c r="E666" s="3" t="s">
        <v>16</v>
      </c>
      <c r="F666" s="4" t="s">
        <v>17</v>
      </c>
      <c r="G666" s="2" t="s">
        <v>17</v>
      </c>
      <c r="H666" s="5" t="s">
        <v>18</v>
      </c>
      <c r="I666" s="2"/>
      <c r="J666" s="2"/>
      <c r="K666" s="2" t="s">
        <v>19</v>
      </c>
      <c r="L666" s="2"/>
    </row>
    <row r="667" spans="1:12" ht="39" x14ac:dyDescent="0.2">
      <c r="A667" s="2" t="s">
        <v>1118</v>
      </c>
      <c r="B667" s="2" t="s">
        <v>1469</v>
      </c>
      <c r="C667" s="2" t="s">
        <v>1482</v>
      </c>
      <c r="D667" s="2" t="s">
        <v>1483</v>
      </c>
      <c r="E667" s="3" t="s">
        <v>16</v>
      </c>
      <c r="F667" s="4" t="s">
        <v>17</v>
      </c>
      <c r="G667" s="2" t="s">
        <v>17</v>
      </c>
      <c r="H667" s="5" t="s">
        <v>18</v>
      </c>
      <c r="I667" s="2"/>
      <c r="J667" s="2"/>
      <c r="K667" s="2" t="s">
        <v>19</v>
      </c>
      <c r="L667" s="2"/>
    </row>
    <row r="668" spans="1:12" ht="39" x14ac:dyDescent="0.2">
      <c r="A668" s="2" t="s">
        <v>1118</v>
      </c>
      <c r="B668" s="2" t="s">
        <v>1469</v>
      </c>
      <c r="C668" s="2" t="s">
        <v>1484</v>
      </c>
      <c r="D668" s="2" t="s">
        <v>1485</v>
      </c>
      <c r="E668" s="3" t="s">
        <v>16</v>
      </c>
      <c r="F668" s="4" t="s">
        <v>17</v>
      </c>
      <c r="G668" s="2" t="s">
        <v>17</v>
      </c>
      <c r="H668" s="5" t="s">
        <v>18</v>
      </c>
      <c r="I668" s="2"/>
      <c r="J668" s="2"/>
      <c r="K668" s="2" t="s">
        <v>19</v>
      </c>
      <c r="L668" s="2"/>
    </row>
    <row r="669" spans="1:12" ht="39" x14ac:dyDescent="0.2">
      <c r="A669" s="2" t="s">
        <v>1486</v>
      </c>
      <c r="B669" s="2" t="s">
        <v>1487</v>
      </c>
      <c r="C669" s="2" t="s">
        <v>1488</v>
      </c>
      <c r="D669" s="2" t="s">
        <v>1489</v>
      </c>
      <c r="E669" s="6" t="s">
        <v>264</v>
      </c>
      <c r="F669" s="4" t="s">
        <v>17</v>
      </c>
      <c r="G669" s="2" t="s">
        <v>17</v>
      </c>
      <c r="H669" s="5" t="s">
        <v>18</v>
      </c>
      <c r="I669" s="2"/>
      <c r="J669" s="2"/>
      <c r="K669" s="2" t="s">
        <v>19</v>
      </c>
      <c r="L669" s="2"/>
    </row>
    <row r="670" spans="1:12" ht="39" x14ac:dyDescent="0.2">
      <c r="A670" s="2" t="s">
        <v>1486</v>
      </c>
      <c r="B670" s="2" t="s">
        <v>1487</v>
      </c>
      <c r="C670" s="2" t="s">
        <v>1490</v>
      </c>
      <c r="D670" s="2" t="s">
        <v>1491</v>
      </c>
      <c r="E670" s="6" t="s">
        <v>264</v>
      </c>
      <c r="F670" s="4" t="s">
        <v>17</v>
      </c>
      <c r="G670" s="2" t="s">
        <v>17</v>
      </c>
      <c r="H670" s="5" t="s">
        <v>18</v>
      </c>
      <c r="I670" s="2"/>
      <c r="J670" s="2"/>
      <c r="K670" s="2" t="s">
        <v>19</v>
      </c>
      <c r="L670" s="2"/>
    </row>
    <row r="671" spans="1:12" ht="39" x14ac:dyDescent="0.2">
      <c r="A671" s="2" t="s">
        <v>1486</v>
      </c>
      <c r="B671" s="2" t="s">
        <v>1487</v>
      </c>
      <c r="C671" s="2" t="s">
        <v>1492</v>
      </c>
      <c r="D671" s="2" t="s">
        <v>1493</v>
      </c>
      <c r="E671" s="6" t="s">
        <v>264</v>
      </c>
      <c r="F671" s="4" t="s">
        <v>17</v>
      </c>
      <c r="G671" s="2" t="s">
        <v>17</v>
      </c>
      <c r="H671" s="5" t="s">
        <v>18</v>
      </c>
      <c r="I671" s="2"/>
      <c r="J671" s="2"/>
      <c r="K671" s="2" t="s">
        <v>19</v>
      </c>
      <c r="L671" s="2"/>
    </row>
    <row r="672" spans="1:12" ht="39" x14ac:dyDescent="0.2">
      <c r="A672" s="2" t="s">
        <v>1486</v>
      </c>
      <c r="B672" s="2" t="s">
        <v>1487</v>
      </c>
      <c r="C672" s="2" t="s">
        <v>1494</v>
      </c>
      <c r="D672" s="2" t="s">
        <v>1495</v>
      </c>
      <c r="E672" s="6" t="s">
        <v>264</v>
      </c>
      <c r="F672" s="4" t="s">
        <v>17</v>
      </c>
      <c r="G672" s="2" t="s">
        <v>17</v>
      </c>
      <c r="H672" s="5" t="s">
        <v>18</v>
      </c>
      <c r="I672" s="2"/>
      <c r="J672" s="2"/>
      <c r="K672" s="2" t="s">
        <v>19</v>
      </c>
      <c r="L672" s="2"/>
    </row>
    <row r="673" spans="1:12" ht="39" x14ac:dyDescent="0.2">
      <c r="A673" s="2" t="s">
        <v>1486</v>
      </c>
      <c r="B673" s="2" t="s">
        <v>1487</v>
      </c>
      <c r="C673" s="2" t="s">
        <v>1496</v>
      </c>
      <c r="D673" s="2" t="s">
        <v>1497</v>
      </c>
      <c r="E673" s="6" t="s">
        <v>264</v>
      </c>
      <c r="F673" s="4" t="s">
        <v>17</v>
      </c>
      <c r="G673" s="2" t="s">
        <v>17</v>
      </c>
      <c r="H673" s="5" t="s">
        <v>18</v>
      </c>
      <c r="I673" s="2"/>
      <c r="J673" s="2"/>
      <c r="K673" s="2" t="s">
        <v>19</v>
      </c>
      <c r="L673" s="2"/>
    </row>
    <row r="674" spans="1:12" ht="39" x14ac:dyDescent="0.2">
      <c r="A674" s="2" t="s">
        <v>1486</v>
      </c>
      <c r="B674" s="2" t="s">
        <v>1487</v>
      </c>
      <c r="C674" s="2" t="s">
        <v>1498</v>
      </c>
      <c r="D674" s="2" t="s">
        <v>1499</v>
      </c>
      <c r="E674" s="6" t="s">
        <v>264</v>
      </c>
      <c r="F674" s="4" t="s">
        <v>17</v>
      </c>
      <c r="G674" s="2" t="s">
        <v>17</v>
      </c>
      <c r="H674" s="5" t="s">
        <v>18</v>
      </c>
      <c r="I674" s="2"/>
      <c r="J674" s="2"/>
      <c r="K674" s="2" t="s">
        <v>19</v>
      </c>
      <c r="L674" s="2"/>
    </row>
    <row r="675" spans="1:12" ht="39" x14ac:dyDescent="0.2">
      <c r="A675" s="2" t="s">
        <v>1486</v>
      </c>
      <c r="B675" s="2" t="s">
        <v>1487</v>
      </c>
      <c r="C675" s="2" t="s">
        <v>1500</v>
      </c>
      <c r="D675" s="2" t="s">
        <v>1501</v>
      </c>
      <c r="E675" s="6" t="s">
        <v>264</v>
      </c>
      <c r="F675" s="4" t="s">
        <v>17</v>
      </c>
      <c r="G675" s="2" t="s">
        <v>17</v>
      </c>
      <c r="H675" s="5" t="s">
        <v>18</v>
      </c>
      <c r="I675" s="2"/>
      <c r="J675" s="2"/>
      <c r="K675" s="2" t="s">
        <v>19</v>
      </c>
      <c r="L675" s="2"/>
    </row>
    <row r="676" spans="1:12" ht="52" x14ac:dyDescent="0.2">
      <c r="A676" s="2" t="s">
        <v>1486</v>
      </c>
      <c r="B676" s="2" t="s">
        <v>1487</v>
      </c>
      <c r="C676" s="2" t="s">
        <v>1502</v>
      </c>
      <c r="D676" s="2" t="s">
        <v>1503</v>
      </c>
      <c r="E676" s="6" t="s">
        <v>264</v>
      </c>
      <c r="F676" s="4" t="s">
        <v>17</v>
      </c>
      <c r="G676" s="2" t="s">
        <v>17</v>
      </c>
      <c r="H676" s="5" t="s">
        <v>18</v>
      </c>
      <c r="I676" s="2"/>
      <c r="J676" s="2"/>
      <c r="K676" s="2" t="s">
        <v>19</v>
      </c>
      <c r="L676" s="2"/>
    </row>
    <row r="677" spans="1:12" ht="52" x14ac:dyDescent="0.2">
      <c r="A677" s="2" t="s">
        <v>1486</v>
      </c>
      <c r="B677" s="2" t="s">
        <v>1487</v>
      </c>
      <c r="C677" s="2" t="s">
        <v>1504</v>
      </c>
      <c r="D677" s="2" t="s">
        <v>1505</v>
      </c>
      <c r="E677" s="6" t="s">
        <v>264</v>
      </c>
      <c r="F677" s="4" t="s">
        <v>17</v>
      </c>
      <c r="G677" s="2" t="s">
        <v>17</v>
      </c>
      <c r="H677" s="5" t="s">
        <v>18</v>
      </c>
      <c r="I677" s="2"/>
      <c r="J677" s="2"/>
      <c r="K677" s="2" t="s">
        <v>19</v>
      </c>
      <c r="L677" s="2"/>
    </row>
    <row r="678" spans="1:12" ht="39" x14ac:dyDescent="0.2">
      <c r="A678" s="2" t="s">
        <v>1486</v>
      </c>
      <c r="B678" s="2" t="s">
        <v>1506</v>
      </c>
      <c r="C678" s="2" t="s">
        <v>1507</v>
      </c>
      <c r="D678" s="2" t="s">
        <v>1508</v>
      </c>
      <c r="E678" s="6" t="s">
        <v>264</v>
      </c>
      <c r="F678" s="4" t="s">
        <v>17</v>
      </c>
      <c r="G678" s="2" t="s">
        <v>17</v>
      </c>
      <c r="H678" s="5" t="s">
        <v>18</v>
      </c>
      <c r="I678" s="2"/>
      <c r="J678" s="2"/>
      <c r="K678" s="2" t="s">
        <v>19</v>
      </c>
      <c r="L678" s="2"/>
    </row>
    <row r="679" spans="1:12" ht="39" x14ac:dyDescent="0.2">
      <c r="A679" s="2" t="s">
        <v>1486</v>
      </c>
      <c r="B679" s="2" t="s">
        <v>1506</v>
      </c>
      <c r="C679" s="2" t="s">
        <v>1509</v>
      </c>
      <c r="D679" s="2" t="s">
        <v>1510</v>
      </c>
      <c r="E679" s="6" t="s">
        <v>264</v>
      </c>
      <c r="F679" s="4" t="s">
        <v>17</v>
      </c>
      <c r="G679" s="2" t="s">
        <v>17</v>
      </c>
      <c r="H679" s="5" t="s">
        <v>18</v>
      </c>
      <c r="I679" s="2"/>
      <c r="J679" s="2"/>
      <c r="K679" s="2" t="s">
        <v>19</v>
      </c>
      <c r="L679" s="2"/>
    </row>
    <row r="680" spans="1:12" ht="39" x14ac:dyDescent="0.2">
      <c r="A680" s="2" t="s">
        <v>1486</v>
      </c>
      <c r="B680" s="2" t="s">
        <v>1506</v>
      </c>
      <c r="C680" s="2" t="s">
        <v>1511</v>
      </c>
      <c r="D680" s="2" t="s">
        <v>1512</v>
      </c>
      <c r="E680" s="6" t="s">
        <v>264</v>
      </c>
      <c r="F680" s="4" t="s">
        <v>17</v>
      </c>
      <c r="G680" s="2" t="s">
        <v>17</v>
      </c>
      <c r="H680" s="5" t="s">
        <v>18</v>
      </c>
      <c r="I680" s="2"/>
      <c r="J680" s="2"/>
      <c r="K680" s="2" t="s">
        <v>19</v>
      </c>
      <c r="L680" s="2"/>
    </row>
    <row r="681" spans="1:12" ht="39" x14ac:dyDescent="0.2">
      <c r="A681" s="2" t="s">
        <v>1486</v>
      </c>
      <c r="B681" s="2" t="s">
        <v>1506</v>
      </c>
      <c r="C681" s="2" t="s">
        <v>1513</v>
      </c>
      <c r="D681" s="2" t="s">
        <v>1514</v>
      </c>
      <c r="E681" s="6" t="s">
        <v>264</v>
      </c>
      <c r="F681" s="4" t="s">
        <v>17</v>
      </c>
      <c r="G681" s="2" t="s">
        <v>17</v>
      </c>
      <c r="H681" s="5" t="s">
        <v>18</v>
      </c>
      <c r="I681" s="2"/>
      <c r="J681" s="2"/>
      <c r="K681" s="2" t="s">
        <v>19</v>
      </c>
      <c r="L681" s="2"/>
    </row>
    <row r="682" spans="1:12" ht="39" x14ac:dyDescent="0.2">
      <c r="A682" s="2" t="s">
        <v>1486</v>
      </c>
      <c r="B682" s="2" t="s">
        <v>1515</v>
      </c>
      <c r="C682" s="2" t="s">
        <v>1516</v>
      </c>
      <c r="D682" s="2" t="s">
        <v>1517</v>
      </c>
      <c r="E682" s="6" t="s">
        <v>264</v>
      </c>
      <c r="F682" s="4" t="s">
        <v>17</v>
      </c>
      <c r="G682" s="2" t="s">
        <v>17</v>
      </c>
      <c r="H682" s="5" t="s">
        <v>18</v>
      </c>
      <c r="I682" s="2"/>
      <c r="J682" s="2"/>
      <c r="K682" s="2" t="s">
        <v>19</v>
      </c>
      <c r="L682" s="2"/>
    </row>
    <row r="683" spans="1:12" ht="52" x14ac:dyDescent="0.2">
      <c r="A683" s="2" t="s">
        <v>1486</v>
      </c>
      <c r="B683" s="2" t="s">
        <v>1515</v>
      </c>
      <c r="C683" s="2" t="s">
        <v>1518</v>
      </c>
      <c r="D683" s="2" t="s">
        <v>1519</v>
      </c>
      <c r="E683" s="6" t="s">
        <v>264</v>
      </c>
      <c r="F683" s="4" t="s">
        <v>17</v>
      </c>
      <c r="G683" s="2" t="s">
        <v>17</v>
      </c>
      <c r="H683" s="5" t="s">
        <v>18</v>
      </c>
      <c r="I683" s="2"/>
      <c r="J683" s="2"/>
      <c r="K683" s="2" t="s">
        <v>19</v>
      </c>
      <c r="L683" s="2"/>
    </row>
    <row r="684" spans="1:12" ht="39" x14ac:dyDescent="0.2">
      <c r="A684" s="2" t="s">
        <v>1486</v>
      </c>
      <c r="B684" s="2" t="s">
        <v>1515</v>
      </c>
      <c r="C684" s="2" t="s">
        <v>1520</v>
      </c>
      <c r="D684" s="2" t="s">
        <v>1521</v>
      </c>
      <c r="E684" s="6" t="s">
        <v>264</v>
      </c>
      <c r="F684" s="4" t="s">
        <v>17</v>
      </c>
      <c r="G684" s="2" t="s">
        <v>17</v>
      </c>
      <c r="H684" s="5" t="s">
        <v>18</v>
      </c>
      <c r="I684" s="2"/>
      <c r="J684" s="2"/>
      <c r="K684" s="2" t="s">
        <v>19</v>
      </c>
      <c r="L684" s="2"/>
    </row>
    <row r="685" spans="1:12" ht="39" x14ac:dyDescent="0.2">
      <c r="A685" s="2" t="s">
        <v>1486</v>
      </c>
      <c r="B685" s="2" t="s">
        <v>1515</v>
      </c>
      <c r="C685" s="2" t="s">
        <v>1522</v>
      </c>
      <c r="D685" s="2" t="s">
        <v>1523</v>
      </c>
      <c r="E685" s="6" t="s">
        <v>264</v>
      </c>
      <c r="F685" s="4" t="s">
        <v>17</v>
      </c>
      <c r="G685" s="2" t="s">
        <v>17</v>
      </c>
      <c r="H685" s="5" t="s">
        <v>18</v>
      </c>
      <c r="I685" s="2"/>
      <c r="J685" s="2"/>
      <c r="K685" s="2" t="s">
        <v>19</v>
      </c>
      <c r="L685" s="2"/>
    </row>
    <row r="686" spans="1:12" ht="39" x14ac:dyDescent="0.2">
      <c r="A686" s="2" t="s">
        <v>1486</v>
      </c>
      <c r="B686" s="2" t="s">
        <v>1515</v>
      </c>
      <c r="C686" s="2" t="s">
        <v>1524</v>
      </c>
      <c r="D686" s="2" t="s">
        <v>1525</v>
      </c>
      <c r="E686" s="6" t="s">
        <v>264</v>
      </c>
      <c r="F686" s="4" t="s">
        <v>17</v>
      </c>
      <c r="G686" s="2" t="s">
        <v>17</v>
      </c>
      <c r="H686" s="5" t="s">
        <v>18</v>
      </c>
      <c r="I686" s="2"/>
      <c r="J686" s="2"/>
      <c r="K686" s="2" t="s">
        <v>19</v>
      </c>
      <c r="L686" s="2"/>
    </row>
    <row r="687" spans="1:12" ht="39" x14ac:dyDescent="0.2">
      <c r="A687" s="2" t="s">
        <v>1486</v>
      </c>
      <c r="B687" s="2" t="s">
        <v>1515</v>
      </c>
      <c r="C687" s="2" t="s">
        <v>1526</v>
      </c>
      <c r="D687" s="2" t="s">
        <v>1527</v>
      </c>
      <c r="E687" s="6" t="s">
        <v>264</v>
      </c>
      <c r="F687" s="4" t="s">
        <v>17</v>
      </c>
      <c r="G687" s="2" t="s">
        <v>17</v>
      </c>
      <c r="H687" s="5" t="s">
        <v>18</v>
      </c>
      <c r="I687" s="2"/>
      <c r="J687" s="2"/>
      <c r="K687" s="2" t="s">
        <v>19</v>
      </c>
      <c r="L687" s="2"/>
    </row>
    <row r="688" spans="1:12" ht="26" x14ac:dyDescent="0.2">
      <c r="A688" s="2" t="s">
        <v>1486</v>
      </c>
      <c r="B688" s="2" t="s">
        <v>1515</v>
      </c>
      <c r="C688" s="2" t="s">
        <v>1528</v>
      </c>
      <c r="D688" s="2" t="s">
        <v>1529</v>
      </c>
      <c r="E688" s="6" t="s">
        <v>264</v>
      </c>
      <c r="F688" s="4" t="s">
        <v>17</v>
      </c>
      <c r="G688" s="2" t="s">
        <v>17</v>
      </c>
      <c r="H688" s="5" t="s">
        <v>18</v>
      </c>
      <c r="I688" s="2"/>
      <c r="J688" s="2"/>
      <c r="K688" s="2" t="s">
        <v>19</v>
      </c>
      <c r="L688" s="2"/>
    </row>
    <row r="689" spans="1:12" ht="26" x14ac:dyDescent="0.2">
      <c r="A689" s="2" t="s">
        <v>1486</v>
      </c>
      <c r="B689" s="2" t="s">
        <v>1515</v>
      </c>
      <c r="C689" s="2" t="s">
        <v>1530</v>
      </c>
      <c r="D689" s="2" t="s">
        <v>1531</v>
      </c>
      <c r="E689" s="6" t="s">
        <v>264</v>
      </c>
      <c r="F689" s="4" t="s">
        <v>17</v>
      </c>
      <c r="G689" s="2" t="s">
        <v>17</v>
      </c>
      <c r="H689" s="5" t="s">
        <v>18</v>
      </c>
      <c r="I689" s="2"/>
      <c r="J689" s="2"/>
      <c r="K689" s="2" t="s">
        <v>19</v>
      </c>
      <c r="L689" s="2"/>
    </row>
    <row r="690" spans="1:12" ht="39" x14ac:dyDescent="0.2">
      <c r="A690" s="2" t="s">
        <v>1486</v>
      </c>
      <c r="B690" s="2" t="s">
        <v>1532</v>
      </c>
      <c r="C690" s="2" t="s">
        <v>1533</v>
      </c>
      <c r="D690" s="2" t="s">
        <v>1534</v>
      </c>
      <c r="E690" s="6" t="s">
        <v>264</v>
      </c>
      <c r="F690" s="4" t="s">
        <v>17</v>
      </c>
      <c r="G690" s="2" t="s">
        <v>17</v>
      </c>
      <c r="H690" s="5" t="s">
        <v>18</v>
      </c>
      <c r="I690" s="2"/>
      <c r="J690" s="2"/>
      <c r="K690" s="2" t="s">
        <v>19</v>
      </c>
      <c r="L690" s="2"/>
    </row>
    <row r="691" spans="1:12" ht="52" x14ac:dyDescent="0.2">
      <c r="A691" s="2" t="s">
        <v>1486</v>
      </c>
      <c r="B691" s="2" t="s">
        <v>1532</v>
      </c>
      <c r="C691" s="2" t="s">
        <v>1535</v>
      </c>
      <c r="D691" s="2" t="s">
        <v>1536</v>
      </c>
      <c r="E691" s="6" t="s">
        <v>264</v>
      </c>
      <c r="F691" s="4" t="s">
        <v>17</v>
      </c>
      <c r="G691" s="2" t="s">
        <v>17</v>
      </c>
      <c r="H691" s="5" t="s">
        <v>18</v>
      </c>
      <c r="I691" s="2"/>
      <c r="J691" s="2"/>
      <c r="K691" s="2" t="s">
        <v>19</v>
      </c>
      <c r="L691" s="2"/>
    </row>
    <row r="692" spans="1:12" ht="39" x14ac:dyDescent="0.2">
      <c r="A692" s="2" t="s">
        <v>1486</v>
      </c>
      <c r="B692" s="2" t="s">
        <v>1532</v>
      </c>
      <c r="C692" s="2" t="s">
        <v>1537</v>
      </c>
      <c r="D692" s="2" t="s">
        <v>1538</v>
      </c>
      <c r="E692" s="6" t="s">
        <v>264</v>
      </c>
      <c r="F692" s="4" t="s">
        <v>17</v>
      </c>
      <c r="G692" s="2" t="s">
        <v>17</v>
      </c>
      <c r="H692" s="5" t="s">
        <v>18</v>
      </c>
      <c r="I692" s="2"/>
      <c r="J692" s="2"/>
      <c r="K692" s="2" t="s">
        <v>19</v>
      </c>
      <c r="L692" s="2"/>
    </row>
    <row r="693" spans="1:12" ht="26" x14ac:dyDescent="0.2">
      <c r="A693" s="2" t="s">
        <v>1486</v>
      </c>
      <c r="B693" s="2" t="s">
        <v>1532</v>
      </c>
      <c r="C693" s="2" t="s">
        <v>1539</v>
      </c>
      <c r="D693" s="2" t="s">
        <v>1540</v>
      </c>
      <c r="E693" s="6" t="s">
        <v>264</v>
      </c>
      <c r="F693" s="4" t="s">
        <v>17</v>
      </c>
      <c r="G693" s="2" t="s">
        <v>17</v>
      </c>
      <c r="H693" s="5" t="s">
        <v>18</v>
      </c>
      <c r="I693" s="2"/>
      <c r="J693" s="2"/>
      <c r="K693" s="2" t="s">
        <v>19</v>
      </c>
      <c r="L693" s="2"/>
    </row>
    <row r="694" spans="1:12" ht="39" x14ac:dyDescent="0.2">
      <c r="A694" s="2" t="s">
        <v>1486</v>
      </c>
      <c r="B694" s="2" t="s">
        <v>1532</v>
      </c>
      <c r="C694" s="2" t="s">
        <v>1541</v>
      </c>
      <c r="D694" s="2" t="s">
        <v>1542</v>
      </c>
      <c r="E694" s="6" t="s">
        <v>264</v>
      </c>
      <c r="F694" s="4" t="s">
        <v>17</v>
      </c>
      <c r="G694" s="2" t="s">
        <v>17</v>
      </c>
      <c r="H694" s="5" t="s">
        <v>18</v>
      </c>
      <c r="I694" s="2"/>
      <c r="J694" s="2"/>
      <c r="K694" s="2" t="s">
        <v>19</v>
      </c>
      <c r="L694" s="2"/>
    </row>
    <row r="695" spans="1:12" ht="39" x14ac:dyDescent="0.2">
      <c r="A695" s="2" t="s">
        <v>1486</v>
      </c>
      <c r="B695" s="2" t="s">
        <v>1543</v>
      </c>
      <c r="C695" s="2" t="s">
        <v>1544</v>
      </c>
      <c r="D695" s="2" t="s">
        <v>1545</v>
      </c>
      <c r="E695" s="6" t="s">
        <v>264</v>
      </c>
      <c r="F695" s="4" t="s">
        <v>17</v>
      </c>
      <c r="G695" s="2" t="s">
        <v>17</v>
      </c>
      <c r="H695" s="5" t="s">
        <v>18</v>
      </c>
      <c r="I695" s="2"/>
      <c r="J695" s="2"/>
      <c r="K695" s="2" t="s">
        <v>19</v>
      </c>
      <c r="L695" s="2"/>
    </row>
    <row r="696" spans="1:12" ht="39" x14ac:dyDescent="0.2">
      <c r="A696" s="2" t="s">
        <v>1486</v>
      </c>
      <c r="B696" s="2" t="s">
        <v>1543</v>
      </c>
      <c r="C696" s="2" t="s">
        <v>1546</v>
      </c>
      <c r="D696" s="2" t="s">
        <v>1547</v>
      </c>
      <c r="E696" s="6" t="s">
        <v>264</v>
      </c>
      <c r="F696" s="4" t="s">
        <v>17</v>
      </c>
      <c r="G696" s="2" t="s">
        <v>17</v>
      </c>
      <c r="H696" s="5" t="s">
        <v>18</v>
      </c>
      <c r="I696" s="2"/>
      <c r="J696" s="2"/>
      <c r="K696" s="2" t="s">
        <v>19</v>
      </c>
      <c r="L696" s="2"/>
    </row>
    <row r="697" spans="1:12" ht="39" x14ac:dyDescent="0.2">
      <c r="A697" s="2" t="s">
        <v>1486</v>
      </c>
      <c r="B697" s="2" t="s">
        <v>1543</v>
      </c>
      <c r="C697" s="2" t="s">
        <v>1548</v>
      </c>
      <c r="D697" s="2" t="s">
        <v>1549</v>
      </c>
      <c r="E697" s="6" t="s">
        <v>264</v>
      </c>
      <c r="F697" s="4" t="s">
        <v>17</v>
      </c>
      <c r="G697" s="2" t="s">
        <v>17</v>
      </c>
      <c r="H697" s="5" t="s">
        <v>18</v>
      </c>
      <c r="I697" s="2"/>
      <c r="J697" s="2"/>
      <c r="K697" s="2" t="s">
        <v>19</v>
      </c>
      <c r="L697" s="2"/>
    </row>
    <row r="698" spans="1:12" ht="39" x14ac:dyDescent="0.2">
      <c r="A698" s="2" t="s">
        <v>1486</v>
      </c>
      <c r="B698" s="2" t="s">
        <v>1543</v>
      </c>
      <c r="C698" s="2" t="s">
        <v>1550</v>
      </c>
      <c r="D698" s="2" t="s">
        <v>1551</v>
      </c>
      <c r="E698" s="6" t="s">
        <v>264</v>
      </c>
      <c r="F698" s="4" t="s">
        <v>17</v>
      </c>
      <c r="G698" s="2" t="s">
        <v>17</v>
      </c>
      <c r="H698" s="5" t="s">
        <v>18</v>
      </c>
      <c r="I698" s="2"/>
      <c r="J698" s="2"/>
      <c r="K698" s="2" t="s">
        <v>19</v>
      </c>
      <c r="L698" s="2"/>
    </row>
    <row r="699" spans="1:12" ht="39" x14ac:dyDescent="0.2">
      <c r="A699" s="2" t="s">
        <v>1486</v>
      </c>
      <c r="B699" s="2" t="s">
        <v>1543</v>
      </c>
      <c r="C699" s="2" t="s">
        <v>1552</v>
      </c>
      <c r="D699" s="2" t="s">
        <v>1553</v>
      </c>
      <c r="E699" s="6" t="s">
        <v>264</v>
      </c>
      <c r="F699" s="4" t="s">
        <v>17</v>
      </c>
      <c r="G699" s="2" t="s">
        <v>17</v>
      </c>
      <c r="H699" s="5" t="s">
        <v>18</v>
      </c>
      <c r="I699" s="2"/>
      <c r="J699" s="2"/>
      <c r="K699" s="2" t="s">
        <v>19</v>
      </c>
      <c r="L699" s="2"/>
    </row>
    <row r="700" spans="1:12" ht="39" x14ac:dyDescent="0.2">
      <c r="A700" s="2" t="s">
        <v>1486</v>
      </c>
      <c r="B700" s="2" t="s">
        <v>1543</v>
      </c>
      <c r="C700" s="2" t="s">
        <v>1554</v>
      </c>
      <c r="D700" s="2" t="s">
        <v>1555</v>
      </c>
      <c r="E700" s="6" t="s">
        <v>264</v>
      </c>
      <c r="F700" s="4" t="s">
        <v>17</v>
      </c>
      <c r="G700" s="2" t="s">
        <v>17</v>
      </c>
      <c r="H700" s="5" t="s">
        <v>18</v>
      </c>
      <c r="I700" s="2"/>
      <c r="J700" s="2"/>
      <c r="K700" s="2" t="s">
        <v>19</v>
      </c>
      <c r="L700" s="2"/>
    </row>
    <row r="701" spans="1:12" ht="39" x14ac:dyDescent="0.2">
      <c r="A701" s="2" t="s">
        <v>1486</v>
      </c>
      <c r="B701" s="2" t="s">
        <v>1543</v>
      </c>
      <c r="C701" s="2" t="s">
        <v>1556</v>
      </c>
      <c r="D701" s="2" t="s">
        <v>1557</v>
      </c>
      <c r="E701" s="6" t="s">
        <v>264</v>
      </c>
      <c r="F701" s="4" t="s">
        <v>17</v>
      </c>
      <c r="G701" s="2" t="s">
        <v>17</v>
      </c>
      <c r="H701" s="5" t="s">
        <v>18</v>
      </c>
      <c r="I701" s="2"/>
      <c r="J701" s="2"/>
      <c r="K701" s="2" t="s">
        <v>19</v>
      </c>
      <c r="L701" s="2"/>
    </row>
    <row r="702" spans="1:12" ht="39" x14ac:dyDescent="0.2">
      <c r="A702" s="2" t="s">
        <v>1486</v>
      </c>
      <c r="B702" s="2" t="s">
        <v>1543</v>
      </c>
      <c r="C702" s="2" t="s">
        <v>1558</v>
      </c>
      <c r="D702" s="2" t="s">
        <v>1559</v>
      </c>
      <c r="E702" s="6" t="s">
        <v>264</v>
      </c>
      <c r="F702" s="4" t="s">
        <v>17</v>
      </c>
      <c r="G702" s="2" t="s">
        <v>17</v>
      </c>
      <c r="H702" s="5" t="s">
        <v>18</v>
      </c>
      <c r="I702" s="2"/>
      <c r="J702" s="2"/>
      <c r="K702" s="2" t="s">
        <v>19</v>
      </c>
      <c r="L702" s="2"/>
    </row>
    <row r="703" spans="1:12" ht="39" x14ac:dyDescent="0.2">
      <c r="A703" s="2" t="s">
        <v>1486</v>
      </c>
      <c r="B703" s="2" t="s">
        <v>1543</v>
      </c>
      <c r="C703" s="2" t="s">
        <v>1560</v>
      </c>
      <c r="D703" s="2" t="s">
        <v>1561</v>
      </c>
      <c r="E703" s="6" t="s">
        <v>264</v>
      </c>
      <c r="F703" s="4" t="s">
        <v>17</v>
      </c>
      <c r="G703" s="2" t="s">
        <v>17</v>
      </c>
      <c r="H703" s="5" t="s">
        <v>18</v>
      </c>
      <c r="I703" s="2"/>
      <c r="J703" s="2"/>
      <c r="K703" s="2" t="s">
        <v>19</v>
      </c>
      <c r="L703" s="2"/>
    </row>
    <row r="704" spans="1:12" ht="65" x14ac:dyDescent="0.2">
      <c r="A704" s="2" t="s">
        <v>1486</v>
      </c>
      <c r="B704" s="2" t="s">
        <v>1543</v>
      </c>
      <c r="C704" s="2" t="s">
        <v>1562</v>
      </c>
      <c r="D704" s="2" t="s">
        <v>1563</v>
      </c>
      <c r="E704" s="6" t="s">
        <v>264</v>
      </c>
      <c r="F704" s="4" t="s">
        <v>17</v>
      </c>
      <c r="G704" s="2" t="s">
        <v>17</v>
      </c>
      <c r="H704" s="5" t="s">
        <v>18</v>
      </c>
      <c r="I704" s="2"/>
      <c r="J704" s="2"/>
      <c r="K704" s="2" t="s">
        <v>19</v>
      </c>
      <c r="L704" s="2"/>
    </row>
    <row r="705" spans="1:12" ht="39" x14ac:dyDescent="0.2">
      <c r="A705" s="2" t="s">
        <v>1486</v>
      </c>
      <c r="B705" s="2" t="s">
        <v>1543</v>
      </c>
      <c r="C705" s="2" t="s">
        <v>1564</v>
      </c>
      <c r="D705" s="2" t="s">
        <v>1565</v>
      </c>
      <c r="E705" s="6" t="s">
        <v>264</v>
      </c>
      <c r="F705" s="4" t="s">
        <v>17</v>
      </c>
      <c r="G705" s="2" t="s">
        <v>17</v>
      </c>
      <c r="H705" s="5" t="s">
        <v>18</v>
      </c>
      <c r="I705" s="2"/>
      <c r="J705" s="2"/>
      <c r="K705" s="2" t="s">
        <v>19</v>
      </c>
      <c r="L705" s="2"/>
    </row>
    <row r="706" spans="1:12" ht="52" x14ac:dyDescent="0.2">
      <c r="A706" s="2" t="s">
        <v>1486</v>
      </c>
      <c r="B706" s="2" t="s">
        <v>1543</v>
      </c>
      <c r="C706" s="2" t="s">
        <v>1566</v>
      </c>
      <c r="D706" s="2" t="s">
        <v>1567</v>
      </c>
      <c r="E706" s="6" t="s">
        <v>264</v>
      </c>
      <c r="F706" s="4" t="s">
        <v>17</v>
      </c>
      <c r="G706" s="2" t="s">
        <v>17</v>
      </c>
      <c r="H706" s="5" t="s">
        <v>18</v>
      </c>
      <c r="I706" s="2"/>
      <c r="J706" s="2"/>
      <c r="K706" s="2" t="s">
        <v>19</v>
      </c>
      <c r="L706" s="2"/>
    </row>
    <row r="707" spans="1:12" ht="39" x14ac:dyDescent="0.2">
      <c r="A707" s="2" t="s">
        <v>1486</v>
      </c>
      <c r="B707" s="2" t="s">
        <v>1568</v>
      </c>
      <c r="C707" s="2" t="s">
        <v>1569</v>
      </c>
      <c r="D707" s="2" t="s">
        <v>1570</v>
      </c>
      <c r="E707" s="6" t="s">
        <v>264</v>
      </c>
      <c r="F707" s="4" t="s">
        <v>17</v>
      </c>
      <c r="G707" s="2" t="s">
        <v>17</v>
      </c>
      <c r="H707" s="5" t="s">
        <v>18</v>
      </c>
      <c r="I707" s="2"/>
      <c r="J707" s="2"/>
      <c r="K707" s="2" t="s">
        <v>19</v>
      </c>
      <c r="L707" s="2"/>
    </row>
    <row r="708" spans="1:12" ht="39" x14ac:dyDescent="0.2">
      <c r="A708" s="2" t="s">
        <v>1486</v>
      </c>
      <c r="B708" s="2" t="s">
        <v>1568</v>
      </c>
      <c r="C708" s="2" t="s">
        <v>1571</v>
      </c>
      <c r="D708" s="2" t="s">
        <v>1572</v>
      </c>
      <c r="E708" s="6" t="s">
        <v>264</v>
      </c>
      <c r="F708" s="4" t="s">
        <v>17</v>
      </c>
      <c r="G708" s="2" t="s">
        <v>17</v>
      </c>
      <c r="H708" s="5" t="s">
        <v>18</v>
      </c>
      <c r="I708" s="2"/>
      <c r="J708" s="2"/>
      <c r="K708" s="2" t="s">
        <v>19</v>
      </c>
      <c r="L708" s="2"/>
    </row>
    <row r="709" spans="1:12" ht="26" x14ac:dyDescent="0.2">
      <c r="A709" s="2" t="s">
        <v>1486</v>
      </c>
      <c r="B709" s="2" t="s">
        <v>1568</v>
      </c>
      <c r="C709" s="2" t="s">
        <v>1573</v>
      </c>
      <c r="D709" s="2" t="s">
        <v>1574</v>
      </c>
      <c r="E709" s="6" t="s">
        <v>264</v>
      </c>
      <c r="F709" s="4" t="s">
        <v>17</v>
      </c>
      <c r="G709" s="2" t="s">
        <v>17</v>
      </c>
      <c r="H709" s="5" t="s">
        <v>18</v>
      </c>
      <c r="I709" s="2"/>
      <c r="J709" s="2"/>
      <c r="K709" s="2" t="s">
        <v>19</v>
      </c>
      <c r="L709" s="2"/>
    </row>
    <row r="710" spans="1:12" ht="39" x14ac:dyDescent="0.2">
      <c r="A710" s="2" t="s">
        <v>1486</v>
      </c>
      <c r="B710" s="2" t="s">
        <v>1568</v>
      </c>
      <c r="C710" s="2" t="s">
        <v>1575</v>
      </c>
      <c r="D710" s="2" t="s">
        <v>1576</v>
      </c>
      <c r="E710" s="6" t="s">
        <v>264</v>
      </c>
      <c r="F710" s="4" t="s">
        <v>17</v>
      </c>
      <c r="G710" s="2" t="s">
        <v>17</v>
      </c>
      <c r="H710" s="5" t="s">
        <v>18</v>
      </c>
      <c r="I710" s="2"/>
      <c r="J710" s="2"/>
      <c r="K710" s="2" t="s">
        <v>19</v>
      </c>
      <c r="L710" s="2"/>
    </row>
    <row r="711" spans="1:12" ht="39" x14ac:dyDescent="0.2">
      <c r="A711" s="2" t="s">
        <v>1486</v>
      </c>
      <c r="B711" s="2" t="s">
        <v>1568</v>
      </c>
      <c r="C711" s="2" t="s">
        <v>1577</v>
      </c>
      <c r="D711" s="2" t="s">
        <v>1578</v>
      </c>
      <c r="E711" s="6" t="s">
        <v>264</v>
      </c>
      <c r="F711" s="4" t="s">
        <v>17</v>
      </c>
      <c r="G711" s="2" t="s">
        <v>17</v>
      </c>
      <c r="H711" s="5" t="s">
        <v>18</v>
      </c>
      <c r="I711" s="2"/>
      <c r="J711" s="2"/>
      <c r="K711" s="2" t="s">
        <v>19</v>
      </c>
      <c r="L711" s="2"/>
    </row>
    <row r="712" spans="1:12" ht="39" x14ac:dyDescent="0.2">
      <c r="A712" s="2" t="s">
        <v>1486</v>
      </c>
      <c r="B712" s="2" t="s">
        <v>1568</v>
      </c>
      <c r="C712" s="2" t="s">
        <v>1579</v>
      </c>
      <c r="D712" s="2" t="s">
        <v>1580</v>
      </c>
      <c r="E712" s="6" t="s">
        <v>264</v>
      </c>
      <c r="F712" s="4" t="s">
        <v>17</v>
      </c>
      <c r="G712" s="2" t="s">
        <v>17</v>
      </c>
      <c r="H712" s="5" t="s">
        <v>18</v>
      </c>
      <c r="I712" s="2"/>
      <c r="J712" s="2"/>
      <c r="K712" s="2" t="s">
        <v>19</v>
      </c>
      <c r="L712" s="2"/>
    </row>
    <row r="713" spans="1:12" ht="26" x14ac:dyDescent="0.2">
      <c r="A713" s="2" t="s">
        <v>1486</v>
      </c>
      <c r="B713" s="2" t="s">
        <v>1515</v>
      </c>
      <c r="C713" s="2" t="s">
        <v>1581</v>
      </c>
      <c r="D713" s="2" t="s">
        <v>1582</v>
      </c>
      <c r="E713" s="6" t="s">
        <v>264</v>
      </c>
      <c r="F713" s="4" t="s">
        <v>17</v>
      </c>
      <c r="G713" s="2" t="s">
        <v>17</v>
      </c>
      <c r="H713" s="5" t="s">
        <v>18</v>
      </c>
      <c r="I713" s="2"/>
      <c r="J713" s="2"/>
      <c r="K713" s="2" t="s">
        <v>19</v>
      </c>
      <c r="L713" s="2"/>
    </row>
    <row r="714" spans="1:12" ht="26" x14ac:dyDescent="0.2">
      <c r="A714" s="2" t="s">
        <v>1486</v>
      </c>
      <c r="B714" s="2" t="s">
        <v>1515</v>
      </c>
      <c r="C714" s="2" t="s">
        <v>1583</v>
      </c>
      <c r="D714" s="2" t="s">
        <v>1584</v>
      </c>
      <c r="E714" s="6" t="s">
        <v>264</v>
      </c>
      <c r="F714" s="4" t="s">
        <v>17</v>
      </c>
      <c r="G714" s="2" t="s">
        <v>17</v>
      </c>
      <c r="H714" s="5" t="s">
        <v>18</v>
      </c>
      <c r="I714" s="2"/>
      <c r="J714" s="2"/>
      <c r="K714" s="2" t="s">
        <v>19</v>
      </c>
      <c r="L714" s="2"/>
    </row>
    <row r="715" spans="1:12" x14ac:dyDescent="0.2">
      <c r="A715" s="2" t="s">
        <v>1486</v>
      </c>
      <c r="B715" s="2" t="s">
        <v>1515</v>
      </c>
      <c r="C715" s="2" t="s">
        <v>1585</v>
      </c>
      <c r="D715" s="2" t="s">
        <v>1586</v>
      </c>
      <c r="E715" s="6" t="s">
        <v>264</v>
      </c>
      <c r="F715" s="4" t="s">
        <v>17</v>
      </c>
      <c r="G715" s="2" t="s">
        <v>17</v>
      </c>
      <c r="H715" s="5" t="s">
        <v>18</v>
      </c>
      <c r="I715" s="2"/>
      <c r="J715" s="2"/>
      <c r="K715" s="2" t="s">
        <v>19</v>
      </c>
      <c r="L715" s="2"/>
    </row>
    <row r="716" spans="1:12" x14ac:dyDescent="0.2">
      <c r="A716" s="2" t="s">
        <v>1486</v>
      </c>
      <c r="B716" s="2" t="s">
        <v>1515</v>
      </c>
      <c r="C716" s="2" t="s">
        <v>1587</v>
      </c>
      <c r="D716" s="2" t="s">
        <v>1588</v>
      </c>
      <c r="E716" s="6" t="s">
        <v>264</v>
      </c>
      <c r="F716" s="4" t="s">
        <v>17</v>
      </c>
      <c r="G716" s="2" t="s">
        <v>17</v>
      </c>
      <c r="H716" s="5" t="s">
        <v>18</v>
      </c>
      <c r="I716" s="2"/>
      <c r="J716" s="2"/>
      <c r="K716" s="2" t="s">
        <v>19</v>
      </c>
      <c r="L716" s="2"/>
    </row>
    <row r="717" spans="1:12" x14ac:dyDescent="0.2">
      <c r="A717" s="2" t="s">
        <v>1486</v>
      </c>
      <c r="B717" s="2" t="s">
        <v>1515</v>
      </c>
      <c r="C717" s="2" t="s">
        <v>1589</v>
      </c>
      <c r="D717" s="2" t="s">
        <v>1590</v>
      </c>
      <c r="E717" s="6" t="s">
        <v>264</v>
      </c>
      <c r="F717" s="4" t="s">
        <v>17</v>
      </c>
      <c r="G717" s="2" t="s">
        <v>17</v>
      </c>
      <c r="H717" s="5" t="s">
        <v>18</v>
      </c>
      <c r="I717" s="2"/>
      <c r="J717" s="2"/>
      <c r="K717" s="2" t="s">
        <v>19</v>
      </c>
      <c r="L717" s="2"/>
    </row>
    <row r="718" spans="1:12" ht="26" x14ac:dyDescent="0.2">
      <c r="A718" s="2" t="s">
        <v>1486</v>
      </c>
      <c r="B718" s="2" t="s">
        <v>1515</v>
      </c>
      <c r="C718" s="2" t="s">
        <v>1591</v>
      </c>
      <c r="D718" s="2" t="s">
        <v>1592</v>
      </c>
      <c r="E718" s="6" t="s">
        <v>264</v>
      </c>
      <c r="F718" s="4" t="s">
        <v>17</v>
      </c>
      <c r="G718" s="2" t="s">
        <v>17</v>
      </c>
      <c r="H718" s="5" t="s">
        <v>18</v>
      </c>
      <c r="I718" s="2"/>
      <c r="J718" s="2"/>
      <c r="K718" s="2" t="s">
        <v>19</v>
      </c>
      <c r="L718" s="2"/>
    </row>
    <row r="719" spans="1:12" x14ac:dyDescent="0.2">
      <c r="A719" s="2" t="s">
        <v>1486</v>
      </c>
      <c r="B719" s="2" t="s">
        <v>1515</v>
      </c>
      <c r="C719" s="2" t="s">
        <v>1593</v>
      </c>
      <c r="D719" s="2" t="s">
        <v>1594</v>
      </c>
      <c r="E719" s="6" t="s">
        <v>264</v>
      </c>
      <c r="F719" s="4" t="s">
        <v>17</v>
      </c>
      <c r="G719" s="2" t="s">
        <v>17</v>
      </c>
      <c r="H719" s="5" t="s">
        <v>18</v>
      </c>
      <c r="I719" s="2"/>
      <c r="J719" s="2"/>
      <c r="K719" s="2" t="s">
        <v>19</v>
      </c>
      <c r="L719" s="2"/>
    </row>
    <row r="720" spans="1:12" x14ac:dyDescent="0.2">
      <c r="A720" s="2" t="s">
        <v>1486</v>
      </c>
      <c r="B720" s="2" t="s">
        <v>1515</v>
      </c>
      <c r="C720" s="2" t="s">
        <v>1595</v>
      </c>
      <c r="D720" s="2" t="s">
        <v>1596</v>
      </c>
      <c r="E720" s="6" t="s">
        <v>264</v>
      </c>
      <c r="F720" s="4" t="s">
        <v>17</v>
      </c>
      <c r="G720" s="2" t="s">
        <v>17</v>
      </c>
      <c r="H720" s="5" t="s">
        <v>18</v>
      </c>
      <c r="I720" s="2"/>
      <c r="J720" s="2"/>
      <c r="K720" s="2" t="s">
        <v>19</v>
      </c>
      <c r="L720" s="2"/>
    </row>
    <row r="721" spans="1:12" ht="26" x14ac:dyDescent="0.2">
      <c r="A721" s="2" t="s">
        <v>1486</v>
      </c>
      <c r="B721" s="2" t="s">
        <v>1515</v>
      </c>
      <c r="C721" s="2" t="s">
        <v>1597</v>
      </c>
      <c r="D721" s="2" t="s">
        <v>1598</v>
      </c>
      <c r="E721" s="6" t="s">
        <v>264</v>
      </c>
      <c r="F721" s="4" t="s">
        <v>17</v>
      </c>
      <c r="G721" s="2" t="s">
        <v>17</v>
      </c>
      <c r="H721" s="5" t="s">
        <v>18</v>
      </c>
      <c r="I721" s="2"/>
      <c r="J721" s="2"/>
      <c r="K721" s="2" t="s">
        <v>19</v>
      </c>
      <c r="L721" s="2"/>
    </row>
    <row r="722" spans="1:12" x14ac:dyDescent="0.2">
      <c r="A722" s="2" t="s">
        <v>1486</v>
      </c>
      <c r="B722" s="2" t="s">
        <v>1515</v>
      </c>
      <c r="C722" s="2" t="s">
        <v>1599</v>
      </c>
      <c r="D722" s="2" t="s">
        <v>1600</v>
      </c>
      <c r="E722" s="6" t="s">
        <v>264</v>
      </c>
      <c r="F722" s="4" t="s">
        <v>17</v>
      </c>
      <c r="G722" s="2" t="s">
        <v>17</v>
      </c>
      <c r="H722" s="5" t="s">
        <v>18</v>
      </c>
      <c r="I722" s="2"/>
      <c r="J722" s="2"/>
      <c r="K722" s="2" t="s">
        <v>19</v>
      </c>
      <c r="L722" s="2"/>
    </row>
    <row r="723" spans="1:12" ht="52" x14ac:dyDescent="0.2">
      <c r="A723" s="2" t="s">
        <v>1486</v>
      </c>
      <c r="B723" s="2" t="s">
        <v>1601</v>
      </c>
      <c r="C723" s="2" t="s">
        <v>1602</v>
      </c>
      <c r="D723" s="2" t="s">
        <v>1603</v>
      </c>
      <c r="E723" s="6" t="s">
        <v>264</v>
      </c>
      <c r="F723" s="4" t="s">
        <v>17</v>
      </c>
      <c r="G723" s="2" t="s">
        <v>17</v>
      </c>
      <c r="H723" s="5" t="s">
        <v>18</v>
      </c>
      <c r="I723" s="2"/>
      <c r="J723" s="2"/>
      <c r="K723" s="2" t="s">
        <v>19</v>
      </c>
      <c r="L723" s="2"/>
    </row>
    <row r="724" spans="1:12" ht="52" x14ac:dyDescent="0.2">
      <c r="A724" s="2" t="s">
        <v>1486</v>
      </c>
      <c r="B724" s="2" t="s">
        <v>1601</v>
      </c>
      <c r="C724" s="2" t="s">
        <v>1604</v>
      </c>
      <c r="D724" s="2" t="s">
        <v>1605</v>
      </c>
      <c r="E724" s="6" t="s">
        <v>264</v>
      </c>
      <c r="F724" s="4" t="s">
        <v>17</v>
      </c>
      <c r="G724" s="2" t="s">
        <v>17</v>
      </c>
      <c r="H724" s="5" t="s">
        <v>18</v>
      </c>
      <c r="I724" s="2"/>
      <c r="J724" s="2"/>
      <c r="K724" s="2" t="s">
        <v>19</v>
      </c>
      <c r="L724" s="2"/>
    </row>
    <row r="725" spans="1:12" ht="78" x14ac:dyDescent="0.2">
      <c r="A725" s="2" t="s">
        <v>1486</v>
      </c>
      <c r="B725" s="2" t="s">
        <v>1601</v>
      </c>
      <c r="C725" s="2" t="s">
        <v>1606</v>
      </c>
      <c r="D725" s="2" t="s">
        <v>1607</v>
      </c>
      <c r="E725" s="6" t="s">
        <v>264</v>
      </c>
      <c r="F725" s="7" t="s">
        <v>272</v>
      </c>
      <c r="G725" s="2" t="s">
        <v>1608</v>
      </c>
      <c r="H725" s="5" t="s">
        <v>18</v>
      </c>
      <c r="I725" s="2"/>
      <c r="J725" s="2"/>
      <c r="K725" s="2" t="s">
        <v>19</v>
      </c>
      <c r="L725" s="2"/>
    </row>
    <row r="726" spans="1:12" ht="52" x14ac:dyDescent="0.2">
      <c r="A726" s="2" t="s">
        <v>1486</v>
      </c>
      <c r="B726" s="2" t="s">
        <v>1601</v>
      </c>
      <c r="C726" s="2" t="s">
        <v>1609</v>
      </c>
      <c r="D726" s="2" t="s">
        <v>1610</v>
      </c>
      <c r="E726" s="6" t="s">
        <v>264</v>
      </c>
      <c r="F726" s="4" t="s">
        <v>17</v>
      </c>
      <c r="G726" s="2" t="s">
        <v>17</v>
      </c>
      <c r="H726" s="5" t="s">
        <v>18</v>
      </c>
      <c r="I726" s="2"/>
      <c r="J726" s="2"/>
      <c r="K726" s="2" t="s">
        <v>19</v>
      </c>
      <c r="L726" s="2"/>
    </row>
    <row r="727" spans="1:12" ht="39" x14ac:dyDescent="0.2">
      <c r="A727" s="2" t="s">
        <v>1486</v>
      </c>
      <c r="B727" s="2" t="s">
        <v>1601</v>
      </c>
      <c r="C727" s="2" t="s">
        <v>1611</v>
      </c>
      <c r="D727" s="2" t="s">
        <v>1612</v>
      </c>
      <c r="E727" s="6" t="s">
        <v>264</v>
      </c>
      <c r="F727" s="4" t="s">
        <v>17</v>
      </c>
      <c r="G727" s="2" t="s">
        <v>17</v>
      </c>
      <c r="H727" s="5" t="s">
        <v>18</v>
      </c>
      <c r="I727" s="2"/>
      <c r="J727" s="2"/>
      <c r="K727" s="2" t="s">
        <v>19</v>
      </c>
      <c r="L727" s="2"/>
    </row>
    <row r="728" spans="1:12" ht="39" x14ac:dyDescent="0.2">
      <c r="A728" s="2" t="s">
        <v>1486</v>
      </c>
      <c r="B728" s="2" t="s">
        <v>1601</v>
      </c>
      <c r="C728" s="2" t="s">
        <v>1613</v>
      </c>
      <c r="D728" s="2" t="s">
        <v>1614</v>
      </c>
      <c r="E728" s="6" t="s">
        <v>264</v>
      </c>
      <c r="F728" s="4" t="s">
        <v>17</v>
      </c>
      <c r="G728" s="2" t="s">
        <v>17</v>
      </c>
      <c r="H728" s="5" t="s">
        <v>18</v>
      </c>
      <c r="I728" s="2"/>
      <c r="J728" s="2"/>
      <c r="K728" s="2" t="s">
        <v>19</v>
      </c>
      <c r="L728" s="2"/>
    </row>
    <row r="729" spans="1:12" ht="39" x14ac:dyDescent="0.2">
      <c r="A729" s="2" t="s">
        <v>1486</v>
      </c>
      <c r="B729" s="2" t="s">
        <v>1601</v>
      </c>
      <c r="C729" s="2" t="s">
        <v>1615</v>
      </c>
      <c r="D729" s="2" t="s">
        <v>1616</v>
      </c>
      <c r="E729" s="6" t="s">
        <v>264</v>
      </c>
      <c r="F729" s="4" t="s">
        <v>17</v>
      </c>
      <c r="G729" s="2" t="s">
        <v>17</v>
      </c>
      <c r="H729" s="5" t="s">
        <v>18</v>
      </c>
      <c r="I729" s="2"/>
      <c r="J729" s="2"/>
      <c r="K729" s="2" t="s">
        <v>19</v>
      </c>
      <c r="L729" s="2"/>
    </row>
    <row r="730" spans="1:12" ht="52" x14ac:dyDescent="0.2">
      <c r="A730" s="2" t="s">
        <v>1486</v>
      </c>
      <c r="B730" s="2" t="s">
        <v>1601</v>
      </c>
      <c r="C730" s="2" t="s">
        <v>1617</v>
      </c>
      <c r="D730" s="2" t="s">
        <v>1618</v>
      </c>
      <c r="E730" s="6" t="s">
        <v>264</v>
      </c>
      <c r="F730" s="4" t="s">
        <v>17</v>
      </c>
      <c r="G730" s="2" t="s">
        <v>17</v>
      </c>
      <c r="H730" s="5" t="s">
        <v>18</v>
      </c>
      <c r="I730" s="2"/>
      <c r="J730" s="2"/>
      <c r="K730" s="2" t="s">
        <v>19</v>
      </c>
      <c r="L730" s="2"/>
    </row>
    <row r="731" spans="1:12" ht="39" x14ac:dyDescent="0.2">
      <c r="A731" s="2" t="s">
        <v>1486</v>
      </c>
      <c r="B731" s="2" t="s">
        <v>1601</v>
      </c>
      <c r="C731" s="2" t="s">
        <v>1619</v>
      </c>
      <c r="D731" s="2" t="s">
        <v>1620</v>
      </c>
      <c r="E731" s="6" t="s">
        <v>264</v>
      </c>
      <c r="F731" s="4" t="s">
        <v>17</v>
      </c>
      <c r="G731" s="2" t="s">
        <v>17</v>
      </c>
      <c r="H731" s="5" t="s">
        <v>18</v>
      </c>
      <c r="I731" s="2"/>
      <c r="J731" s="2"/>
      <c r="K731" s="2" t="s">
        <v>19</v>
      </c>
      <c r="L731" s="2"/>
    </row>
    <row r="732" spans="1:12" ht="39" x14ac:dyDescent="0.2">
      <c r="A732" s="2" t="s">
        <v>1486</v>
      </c>
      <c r="B732" s="2" t="s">
        <v>1621</v>
      </c>
      <c r="C732" s="2" t="s">
        <v>1622</v>
      </c>
      <c r="D732" s="2" t="s">
        <v>1623</v>
      </c>
      <c r="E732" s="6" t="s">
        <v>264</v>
      </c>
      <c r="F732" s="4" t="s">
        <v>17</v>
      </c>
      <c r="G732" s="2" t="s">
        <v>17</v>
      </c>
      <c r="H732" s="5" t="s">
        <v>18</v>
      </c>
      <c r="I732" s="2"/>
      <c r="J732" s="2"/>
      <c r="K732" s="2" t="s">
        <v>19</v>
      </c>
      <c r="L732" s="2"/>
    </row>
    <row r="733" spans="1:12" ht="39" x14ac:dyDescent="0.2">
      <c r="A733" s="2" t="s">
        <v>1486</v>
      </c>
      <c r="B733" s="2" t="s">
        <v>1621</v>
      </c>
      <c r="C733" s="2" t="s">
        <v>1624</v>
      </c>
      <c r="D733" s="2" t="s">
        <v>1625</v>
      </c>
      <c r="E733" s="6" t="s">
        <v>264</v>
      </c>
      <c r="F733" s="4" t="s">
        <v>17</v>
      </c>
      <c r="G733" s="2" t="s">
        <v>17</v>
      </c>
      <c r="H733" s="5" t="s">
        <v>18</v>
      </c>
      <c r="I733" s="2"/>
      <c r="J733" s="2"/>
      <c r="K733" s="2" t="s">
        <v>19</v>
      </c>
      <c r="L733" s="2"/>
    </row>
    <row r="734" spans="1:12" ht="39" x14ac:dyDescent="0.2">
      <c r="A734" s="2" t="s">
        <v>1486</v>
      </c>
      <c r="B734" s="2" t="s">
        <v>1621</v>
      </c>
      <c r="C734" s="2" t="s">
        <v>1626</v>
      </c>
      <c r="D734" s="2" t="s">
        <v>1627</v>
      </c>
      <c r="E734" s="6" t="s">
        <v>264</v>
      </c>
      <c r="F734" s="4" t="s">
        <v>17</v>
      </c>
      <c r="G734" s="2" t="s">
        <v>17</v>
      </c>
      <c r="H734" s="5" t="s">
        <v>18</v>
      </c>
      <c r="I734" s="2"/>
      <c r="J734" s="2"/>
      <c r="K734" s="2" t="s">
        <v>19</v>
      </c>
      <c r="L734" s="2"/>
    </row>
    <row r="735" spans="1:12" ht="39" x14ac:dyDescent="0.2">
      <c r="A735" s="2" t="s">
        <v>1486</v>
      </c>
      <c r="B735" s="2" t="s">
        <v>1621</v>
      </c>
      <c r="C735" s="2" t="s">
        <v>1628</v>
      </c>
      <c r="D735" s="2" t="s">
        <v>1629</v>
      </c>
      <c r="E735" s="6" t="s">
        <v>264</v>
      </c>
      <c r="F735" s="4" t="s">
        <v>17</v>
      </c>
      <c r="G735" s="2" t="s">
        <v>17</v>
      </c>
      <c r="H735" s="5" t="s">
        <v>18</v>
      </c>
      <c r="I735" s="2"/>
      <c r="J735" s="2"/>
      <c r="K735" s="2" t="s">
        <v>19</v>
      </c>
      <c r="L735" s="2"/>
    </row>
    <row r="736" spans="1:12" ht="52" x14ac:dyDescent="0.2">
      <c r="A736" s="2" t="s">
        <v>1486</v>
      </c>
      <c r="B736" s="2" t="s">
        <v>1621</v>
      </c>
      <c r="C736" s="2" t="s">
        <v>1630</v>
      </c>
      <c r="D736" s="2" t="s">
        <v>1631</v>
      </c>
      <c r="E736" s="6" t="s">
        <v>264</v>
      </c>
      <c r="F736" s="4" t="s">
        <v>17</v>
      </c>
      <c r="G736" s="2" t="s">
        <v>17</v>
      </c>
      <c r="H736" s="5" t="s">
        <v>18</v>
      </c>
      <c r="I736" s="2"/>
      <c r="J736" s="2"/>
      <c r="K736" s="2" t="s">
        <v>19</v>
      </c>
      <c r="L736" s="2"/>
    </row>
    <row r="737" spans="1:12" ht="39" x14ac:dyDescent="0.2">
      <c r="A737" s="2" t="s">
        <v>1486</v>
      </c>
      <c r="B737" s="2" t="s">
        <v>1621</v>
      </c>
      <c r="C737" s="2" t="s">
        <v>1632</v>
      </c>
      <c r="D737" s="2" t="s">
        <v>1633</v>
      </c>
      <c r="E737" s="6" t="s">
        <v>264</v>
      </c>
      <c r="F737" s="4" t="s">
        <v>17</v>
      </c>
      <c r="G737" s="2" t="s">
        <v>17</v>
      </c>
      <c r="H737" s="5" t="s">
        <v>18</v>
      </c>
      <c r="I737" s="2"/>
      <c r="J737" s="2"/>
      <c r="K737" s="2" t="s">
        <v>19</v>
      </c>
      <c r="L737" s="2"/>
    </row>
    <row r="738" spans="1:12" ht="39" x14ac:dyDescent="0.2">
      <c r="A738" s="2" t="s">
        <v>1486</v>
      </c>
      <c r="B738" s="2" t="s">
        <v>1621</v>
      </c>
      <c r="C738" s="2" t="s">
        <v>1634</v>
      </c>
      <c r="D738" s="2" t="s">
        <v>1635</v>
      </c>
      <c r="E738" s="6" t="s">
        <v>264</v>
      </c>
      <c r="F738" s="4" t="s">
        <v>17</v>
      </c>
      <c r="G738" s="2" t="s">
        <v>17</v>
      </c>
      <c r="H738" s="5" t="s">
        <v>18</v>
      </c>
      <c r="I738" s="2"/>
      <c r="J738" s="2"/>
      <c r="K738" s="2" t="s">
        <v>19</v>
      </c>
      <c r="L738" s="2"/>
    </row>
    <row r="739" spans="1:12" ht="39" x14ac:dyDescent="0.2">
      <c r="A739" s="2" t="s">
        <v>1486</v>
      </c>
      <c r="B739" s="2" t="s">
        <v>1621</v>
      </c>
      <c r="C739" s="2" t="s">
        <v>1636</v>
      </c>
      <c r="D739" s="2" t="s">
        <v>1637</v>
      </c>
      <c r="E739" s="6" t="s">
        <v>264</v>
      </c>
      <c r="F739" s="4" t="s">
        <v>17</v>
      </c>
      <c r="G739" s="2" t="s">
        <v>17</v>
      </c>
      <c r="H739" s="5" t="s">
        <v>18</v>
      </c>
      <c r="I739" s="2"/>
      <c r="J739" s="2"/>
      <c r="K739" s="2" t="s">
        <v>19</v>
      </c>
      <c r="L739" s="2"/>
    </row>
    <row r="740" spans="1:12" ht="52" x14ac:dyDescent="0.2">
      <c r="A740" s="2" t="s">
        <v>1486</v>
      </c>
      <c r="B740" s="2" t="s">
        <v>1621</v>
      </c>
      <c r="C740" s="2" t="s">
        <v>1638</v>
      </c>
      <c r="D740" s="2" t="s">
        <v>1639</v>
      </c>
      <c r="E740" s="6" t="s">
        <v>264</v>
      </c>
      <c r="F740" s="4" t="s">
        <v>17</v>
      </c>
      <c r="G740" s="2" t="s">
        <v>17</v>
      </c>
      <c r="H740" s="5" t="s">
        <v>18</v>
      </c>
      <c r="I740" s="2"/>
      <c r="J740" s="2"/>
      <c r="K740" s="2" t="s">
        <v>19</v>
      </c>
      <c r="L740" s="2"/>
    </row>
    <row r="741" spans="1:12" ht="39" x14ac:dyDescent="0.2">
      <c r="A741" s="2" t="s">
        <v>1486</v>
      </c>
      <c r="B741" s="2" t="s">
        <v>1621</v>
      </c>
      <c r="C741" s="2" t="s">
        <v>1640</v>
      </c>
      <c r="D741" s="2" t="s">
        <v>1641</v>
      </c>
      <c r="E741" s="6" t="s">
        <v>264</v>
      </c>
      <c r="F741" s="4" t="s">
        <v>17</v>
      </c>
      <c r="G741" s="2" t="s">
        <v>17</v>
      </c>
      <c r="H741" s="5" t="s">
        <v>18</v>
      </c>
      <c r="I741" s="2"/>
      <c r="J741" s="2"/>
      <c r="K741" s="2" t="s">
        <v>19</v>
      </c>
      <c r="L741" s="2"/>
    </row>
    <row r="742" spans="1:12" ht="65" x14ac:dyDescent="0.2">
      <c r="A742" s="2" t="s">
        <v>1486</v>
      </c>
      <c r="B742" s="2" t="s">
        <v>1621</v>
      </c>
      <c r="C742" s="2" t="s">
        <v>1642</v>
      </c>
      <c r="D742" s="2" t="s">
        <v>1643</v>
      </c>
      <c r="E742" s="6" t="s">
        <v>264</v>
      </c>
      <c r="F742" s="4" t="s">
        <v>17</v>
      </c>
      <c r="G742" s="2" t="s">
        <v>17</v>
      </c>
      <c r="H742" s="5" t="s">
        <v>18</v>
      </c>
      <c r="I742" s="2"/>
      <c r="J742" s="2"/>
      <c r="K742" s="2" t="s">
        <v>19</v>
      </c>
      <c r="L742" s="2"/>
    </row>
    <row r="743" spans="1:12" ht="39" x14ac:dyDescent="0.2">
      <c r="A743" s="2" t="s">
        <v>1486</v>
      </c>
      <c r="B743" s="2" t="s">
        <v>1644</v>
      </c>
      <c r="C743" s="2" t="s">
        <v>1645</v>
      </c>
      <c r="D743" s="2" t="s">
        <v>1646</v>
      </c>
      <c r="E743" s="6" t="s">
        <v>264</v>
      </c>
      <c r="F743" s="4" t="s">
        <v>17</v>
      </c>
      <c r="G743" s="2" t="s">
        <v>17</v>
      </c>
      <c r="H743" s="5" t="s">
        <v>18</v>
      </c>
      <c r="I743" s="2"/>
      <c r="J743" s="2"/>
      <c r="K743" s="2" t="s">
        <v>19</v>
      </c>
      <c r="L743" s="2"/>
    </row>
    <row r="744" spans="1:12" ht="39" x14ac:dyDescent="0.2">
      <c r="A744" s="2" t="s">
        <v>1486</v>
      </c>
      <c r="B744" s="2" t="s">
        <v>1644</v>
      </c>
      <c r="C744" s="2" t="s">
        <v>1647</v>
      </c>
      <c r="D744" s="2" t="s">
        <v>1648</v>
      </c>
      <c r="E744" s="6" t="s">
        <v>264</v>
      </c>
      <c r="F744" s="4" t="s">
        <v>17</v>
      </c>
      <c r="G744" s="2" t="s">
        <v>17</v>
      </c>
      <c r="H744" s="5" t="s">
        <v>18</v>
      </c>
      <c r="I744" s="2"/>
      <c r="J744" s="2"/>
      <c r="K744" s="2" t="s">
        <v>19</v>
      </c>
      <c r="L744" s="2"/>
    </row>
    <row r="745" spans="1:12" ht="91" x14ac:dyDescent="0.2">
      <c r="A745" s="2" t="s">
        <v>1486</v>
      </c>
      <c r="B745" s="2" t="s">
        <v>1644</v>
      </c>
      <c r="C745" s="2" t="s">
        <v>1649</v>
      </c>
      <c r="D745" s="2" t="s">
        <v>1650</v>
      </c>
      <c r="E745" s="6" t="s">
        <v>264</v>
      </c>
      <c r="F745" s="4" t="s">
        <v>17</v>
      </c>
      <c r="G745" s="2" t="s">
        <v>17</v>
      </c>
      <c r="H745" s="5" t="s">
        <v>18</v>
      </c>
      <c r="I745" s="2"/>
      <c r="J745" s="2"/>
      <c r="K745" s="2" t="s">
        <v>19</v>
      </c>
      <c r="L745" s="2"/>
    </row>
    <row r="746" spans="1:12" ht="52" x14ac:dyDescent="0.2">
      <c r="A746" s="2" t="s">
        <v>1486</v>
      </c>
      <c r="B746" s="2" t="s">
        <v>1644</v>
      </c>
      <c r="C746" s="2" t="s">
        <v>1651</v>
      </c>
      <c r="D746" s="2" t="s">
        <v>1652</v>
      </c>
      <c r="E746" s="6" t="s">
        <v>264</v>
      </c>
      <c r="F746" s="4" t="s">
        <v>17</v>
      </c>
      <c r="G746" s="2" t="s">
        <v>17</v>
      </c>
      <c r="H746" s="5" t="s">
        <v>18</v>
      </c>
      <c r="I746" s="2"/>
      <c r="J746" s="2"/>
      <c r="K746" s="2" t="s">
        <v>19</v>
      </c>
      <c r="L746" s="2"/>
    </row>
    <row r="747" spans="1:12" ht="52" x14ac:dyDescent="0.2">
      <c r="A747" s="2" t="s">
        <v>1486</v>
      </c>
      <c r="B747" s="2" t="s">
        <v>1644</v>
      </c>
      <c r="C747" s="2" t="s">
        <v>1653</v>
      </c>
      <c r="D747" s="2" t="s">
        <v>1654</v>
      </c>
      <c r="E747" s="6" t="s">
        <v>264</v>
      </c>
      <c r="F747" s="4" t="s">
        <v>17</v>
      </c>
      <c r="G747" s="2" t="s">
        <v>17</v>
      </c>
      <c r="H747" s="5" t="s">
        <v>18</v>
      </c>
      <c r="I747" s="2"/>
      <c r="J747" s="2"/>
      <c r="K747" s="2" t="s">
        <v>19</v>
      </c>
      <c r="L747" s="2"/>
    </row>
    <row r="748" spans="1:12" ht="39" x14ac:dyDescent="0.2">
      <c r="A748" s="2" t="s">
        <v>1486</v>
      </c>
      <c r="B748" s="2" t="s">
        <v>1644</v>
      </c>
      <c r="C748" s="2" t="s">
        <v>1655</v>
      </c>
      <c r="D748" s="2" t="s">
        <v>1656</v>
      </c>
      <c r="E748" s="6" t="s">
        <v>264</v>
      </c>
      <c r="F748" s="4" t="s">
        <v>17</v>
      </c>
      <c r="G748" s="2" t="s">
        <v>17</v>
      </c>
      <c r="H748" s="5" t="s">
        <v>18</v>
      </c>
      <c r="I748" s="2"/>
      <c r="J748" s="2"/>
      <c r="K748" s="2" t="s">
        <v>19</v>
      </c>
      <c r="L748" s="2"/>
    </row>
    <row r="749" spans="1:12" ht="52" x14ac:dyDescent="0.2">
      <c r="A749" s="2" t="s">
        <v>1486</v>
      </c>
      <c r="B749" s="2" t="s">
        <v>1644</v>
      </c>
      <c r="C749" s="2" t="s">
        <v>1657</v>
      </c>
      <c r="D749" s="2" t="s">
        <v>1658</v>
      </c>
      <c r="E749" s="6" t="s">
        <v>264</v>
      </c>
      <c r="F749" s="4" t="s">
        <v>17</v>
      </c>
      <c r="G749" s="2" t="s">
        <v>17</v>
      </c>
      <c r="H749" s="5" t="s">
        <v>18</v>
      </c>
      <c r="I749" s="2"/>
      <c r="J749" s="2"/>
      <c r="K749" s="2" t="s">
        <v>19</v>
      </c>
      <c r="L749" s="2"/>
    </row>
    <row r="750" spans="1:12" ht="39" x14ac:dyDescent="0.2">
      <c r="A750" s="2" t="s">
        <v>1486</v>
      </c>
      <c r="B750" s="2" t="s">
        <v>1644</v>
      </c>
      <c r="C750" s="2" t="s">
        <v>1659</v>
      </c>
      <c r="D750" s="2" t="s">
        <v>1660</v>
      </c>
      <c r="E750" s="6" t="s">
        <v>264</v>
      </c>
      <c r="F750" s="4" t="s">
        <v>17</v>
      </c>
      <c r="G750" s="2" t="s">
        <v>17</v>
      </c>
      <c r="H750" s="5" t="s">
        <v>18</v>
      </c>
      <c r="I750" s="2"/>
      <c r="J750" s="2"/>
      <c r="K750" s="2" t="s">
        <v>19</v>
      </c>
      <c r="L750" s="2"/>
    </row>
    <row r="751" spans="1:12" ht="39" x14ac:dyDescent="0.2">
      <c r="A751" s="2" t="s">
        <v>1486</v>
      </c>
      <c r="B751" s="2" t="s">
        <v>1644</v>
      </c>
      <c r="C751" s="2" t="s">
        <v>1661</v>
      </c>
      <c r="D751" s="2" t="s">
        <v>1662</v>
      </c>
      <c r="E751" s="6" t="s">
        <v>264</v>
      </c>
      <c r="F751" s="4" t="s">
        <v>17</v>
      </c>
      <c r="G751" s="2" t="s">
        <v>17</v>
      </c>
      <c r="H751" s="5" t="s">
        <v>18</v>
      </c>
      <c r="I751" s="2"/>
      <c r="J751" s="2"/>
      <c r="K751" s="2" t="s">
        <v>19</v>
      </c>
      <c r="L751" s="2"/>
    </row>
    <row r="752" spans="1:12" ht="65" x14ac:dyDescent="0.2">
      <c r="A752" s="2" t="s">
        <v>1486</v>
      </c>
      <c r="B752" s="2" t="s">
        <v>1644</v>
      </c>
      <c r="C752" s="2" t="s">
        <v>1663</v>
      </c>
      <c r="D752" s="2" t="s">
        <v>1664</v>
      </c>
      <c r="E752" s="6" t="s">
        <v>264</v>
      </c>
      <c r="F752" s="8" t="s">
        <v>317</v>
      </c>
      <c r="G752" s="2" t="s">
        <v>1665</v>
      </c>
      <c r="H752" s="5" t="s">
        <v>18</v>
      </c>
      <c r="I752" s="2"/>
      <c r="J752" s="2"/>
      <c r="K752" s="2" t="s">
        <v>19</v>
      </c>
      <c r="L752" s="2"/>
    </row>
    <row r="753" spans="1:12" ht="52" x14ac:dyDescent="0.2">
      <c r="A753" s="2" t="s">
        <v>1486</v>
      </c>
      <c r="B753" s="2" t="s">
        <v>1666</v>
      </c>
      <c r="C753" s="2" t="s">
        <v>1667</v>
      </c>
      <c r="D753" s="2" t="s">
        <v>1668</v>
      </c>
      <c r="E753" s="6" t="s">
        <v>264</v>
      </c>
      <c r="F753" s="7" t="s">
        <v>272</v>
      </c>
      <c r="G753" s="2" t="s">
        <v>1669</v>
      </c>
      <c r="H753" s="5" t="s">
        <v>18</v>
      </c>
      <c r="I753" s="2"/>
      <c r="J753" s="2"/>
      <c r="K753" s="2" t="s">
        <v>19</v>
      </c>
      <c r="L753" s="2"/>
    </row>
    <row r="754" spans="1:12" ht="39" x14ac:dyDescent="0.2">
      <c r="A754" s="2" t="s">
        <v>1486</v>
      </c>
      <c r="B754" s="2" t="s">
        <v>1666</v>
      </c>
      <c r="C754" s="2" t="s">
        <v>1670</v>
      </c>
      <c r="D754" s="2" t="s">
        <v>1671</v>
      </c>
      <c r="E754" s="6" t="s">
        <v>264</v>
      </c>
      <c r="F754" s="4" t="s">
        <v>17</v>
      </c>
      <c r="G754" s="2" t="s">
        <v>17</v>
      </c>
      <c r="H754" s="5" t="s">
        <v>18</v>
      </c>
      <c r="I754" s="2"/>
      <c r="J754" s="2"/>
      <c r="K754" s="2" t="s">
        <v>19</v>
      </c>
      <c r="L754" s="2"/>
    </row>
    <row r="755" spans="1:12" ht="39" x14ac:dyDescent="0.2">
      <c r="A755" s="2" t="s">
        <v>1486</v>
      </c>
      <c r="B755" s="2" t="s">
        <v>1666</v>
      </c>
      <c r="C755" s="2" t="s">
        <v>1672</v>
      </c>
      <c r="D755" s="2" t="s">
        <v>1673</v>
      </c>
      <c r="E755" s="6" t="s">
        <v>264</v>
      </c>
      <c r="F755" s="4" t="s">
        <v>17</v>
      </c>
      <c r="G755" s="2" t="s">
        <v>17</v>
      </c>
      <c r="H755" s="5" t="s">
        <v>18</v>
      </c>
      <c r="I755" s="2"/>
      <c r="J755" s="2"/>
      <c r="K755" s="2" t="s">
        <v>19</v>
      </c>
      <c r="L755" s="2"/>
    </row>
    <row r="756" spans="1:12" ht="52" x14ac:dyDescent="0.2">
      <c r="A756" s="2" t="s">
        <v>1486</v>
      </c>
      <c r="B756" s="2" t="s">
        <v>1666</v>
      </c>
      <c r="C756" s="2" t="s">
        <v>1674</v>
      </c>
      <c r="D756" s="2" t="s">
        <v>1675</v>
      </c>
      <c r="E756" s="6" t="s">
        <v>264</v>
      </c>
      <c r="F756" s="4" t="s">
        <v>17</v>
      </c>
      <c r="G756" s="2" t="s">
        <v>17</v>
      </c>
      <c r="H756" s="5" t="s">
        <v>18</v>
      </c>
      <c r="I756" s="2"/>
      <c r="J756" s="2"/>
      <c r="K756" s="2" t="s">
        <v>19</v>
      </c>
      <c r="L756" s="2"/>
    </row>
    <row r="757" spans="1:12" ht="39" x14ac:dyDescent="0.2">
      <c r="A757" s="2" t="s">
        <v>1486</v>
      </c>
      <c r="B757" s="2" t="s">
        <v>1666</v>
      </c>
      <c r="C757" s="2" t="s">
        <v>1676</v>
      </c>
      <c r="D757" s="2" t="s">
        <v>1677</v>
      </c>
      <c r="E757" s="6" t="s">
        <v>264</v>
      </c>
      <c r="F757" s="4" t="s">
        <v>17</v>
      </c>
      <c r="G757" s="2" t="s">
        <v>17</v>
      </c>
      <c r="H757" s="5" t="s">
        <v>18</v>
      </c>
      <c r="I757" s="2"/>
      <c r="J757" s="2"/>
      <c r="K757" s="2" t="s">
        <v>19</v>
      </c>
      <c r="L757" s="2"/>
    </row>
    <row r="758" spans="1:12" ht="52" x14ac:dyDescent="0.2">
      <c r="A758" s="2" t="s">
        <v>1486</v>
      </c>
      <c r="B758" s="2" t="s">
        <v>1666</v>
      </c>
      <c r="C758" s="2" t="s">
        <v>1678</v>
      </c>
      <c r="D758" s="2" t="s">
        <v>1679</v>
      </c>
      <c r="E758" s="6" t="s">
        <v>264</v>
      </c>
      <c r="F758" s="4" t="s">
        <v>17</v>
      </c>
      <c r="G758" s="2" t="s">
        <v>17</v>
      </c>
      <c r="H758" s="5" t="s">
        <v>18</v>
      </c>
      <c r="I758" s="2"/>
      <c r="J758" s="2"/>
      <c r="K758" s="2" t="s">
        <v>19</v>
      </c>
      <c r="L758" s="2"/>
    </row>
    <row r="759" spans="1:12" ht="78" x14ac:dyDescent="0.2">
      <c r="A759" s="2" t="s">
        <v>1486</v>
      </c>
      <c r="B759" s="2" t="s">
        <v>1666</v>
      </c>
      <c r="C759" s="2" t="s">
        <v>1680</v>
      </c>
      <c r="D759" s="2" t="s">
        <v>1681</v>
      </c>
      <c r="E759" s="6" t="s">
        <v>264</v>
      </c>
      <c r="F759" s="4" t="s">
        <v>17</v>
      </c>
      <c r="G759" s="2" t="s">
        <v>17</v>
      </c>
      <c r="H759" s="5" t="s">
        <v>18</v>
      </c>
      <c r="I759" s="2"/>
      <c r="J759" s="2"/>
      <c r="K759" s="2" t="s">
        <v>19</v>
      </c>
      <c r="L759" s="2"/>
    </row>
    <row r="760" spans="1:12" ht="65" x14ac:dyDescent="0.2">
      <c r="A760" s="2" t="s">
        <v>1486</v>
      </c>
      <c r="B760" s="2" t="s">
        <v>1666</v>
      </c>
      <c r="C760" s="2" t="s">
        <v>1682</v>
      </c>
      <c r="D760" s="2" t="s">
        <v>1683</v>
      </c>
      <c r="E760" s="6" t="s">
        <v>264</v>
      </c>
      <c r="F760" s="4" t="s">
        <v>17</v>
      </c>
      <c r="G760" s="2" t="s">
        <v>17</v>
      </c>
      <c r="H760" s="5" t="s">
        <v>18</v>
      </c>
      <c r="I760" s="2"/>
      <c r="J760" s="2"/>
      <c r="K760" s="2" t="s">
        <v>19</v>
      </c>
      <c r="L760" s="2"/>
    </row>
    <row r="761" spans="1:12" ht="52" x14ac:dyDescent="0.2">
      <c r="A761" s="2" t="s">
        <v>1486</v>
      </c>
      <c r="B761" s="2" t="s">
        <v>1684</v>
      </c>
      <c r="C761" s="2" t="s">
        <v>1685</v>
      </c>
      <c r="D761" s="2" t="s">
        <v>1686</v>
      </c>
      <c r="E761" s="6" t="s">
        <v>264</v>
      </c>
      <c r="F761" s="4" t="s">
        <v>17</v>
      </c>
      <c r="G761" s="2" t="s">
        <v>17</v>
      </c>
      <c r="H761" s="5" t="s">
        <v>18</v>
      </c>
      <c r="I761" s="2"/>
      <c r="J761" s="2"/>
      <c r="K761" s="2" t="s">
        <v>19</v>
      </c>
      <c r="L761" s="2"/>
    </row>
    <row r="762" spans="1:12" ht="39" x14ac:dyDescent="0.2">
      <c r="A762" s="2" t="s">
        <v>1486</v>
      </c>
      <c r="B762" s="2" t="s">
        <v>1684</v>
      </c>
      <c r="C762" s="2" t="s">
        <v>1687</v>
      </c>
      <c r="D762" s="2" t="s">
        <v>1688</v>
      </c>
      <c r="E762" s="6" t="s">
        <v>264</v>
      </c>
      <c r="F762" s="4" t="s">
        <v>17</v>
      </c>
      <c r="G762" s="2" t="s">
        <v>17</v>
      </c>
      <c r="H762" s="5" t="s">
        <v>18</v>
      </c>
      <c r="I762" s="2"/>
      <c r="J762" s="2"/>
      <c r="K762" s="2" t="s">
        <v>19</v>
      </c>
      <c r="L762" s="2"/>
    </row>
    <row r="763" spans="1:12" ht="39" x14ac:dyDescent="0.2">
      <c r="A763" s="2" t="s">
        <v>1486</v>
      </c>
      <c r="B763" s="2" t="s">
        <v>1684</v>
      </c>
      <c r="C763" s="2" t="s">
        <v>1689</v>
      </c>
      <c r="D763" s="2" t="s">
        <v>1690</v>
      </c>
      <c r="E763" s="6" t="s">
        <v>264</v>
      </c>
      <c r="F763" s="4" t="s">
        <v>17</v>
      </c>
      <c r="G763" s="2" t="s">
        <v>17</v>
      </c>
      <c r="H763" s="5" t="s">
        <v>18</v>
      </c>
      <c r="I763" s="2"/>
      <c r="J763" s="2"/>
      <c r="K763" s="2" t="s">
        <v>19</v>
      </c>
      <c r="L763" s="2"/>
    </row>
    <row r="764" spans="1:12" ht="52" x14ac:dyDescent="0.2">
      <c r="A764" s="2" t="s">
        <v>1486</v>
      </c>
      <c r="B764" s="2" t="s">
        <v>1684</v>
      </c>
      <c r="C764" s="2" t="s">
        <v>1691</v>
      </c>
      <c r="D764" s="2" t="s">
        <v>1692</v>
      </c>
      <c r="E764" s="6" t="s">
        <v>264</v>
      </c>
      <c r="F764" s="4" t="s">
        <v>17</v>
      </c>
      <c r="G764" s="2" t="s">
        <v>17</v>
      </c>
      <c r="H764" s="5" t="s">
        <v>18</v>
      </c>
      <c r="I764" s="2"/>
      <c r="J764" s="2"/>
      <c r="K764" s="2" t="s">
        <v>19</v>
      </c>
      <c r="L764" s="2"/>
    </row>
    <row r="765" spans="1:12" ht="39" x14ac:dyDescent="0.2">
      <c r="A765" s="2" t="s">
        <v>1486</v>
      </c>
      <c r="B765" s="2" t="s">
        <v>1684</v>
      </c>
      <c r="C765" s="2" t="s">
        <v>1693</v>
      </c>
      <c r="D765" s="2" t="s">
        <v>1694</v>
      </c>
      <c r="E765" s="6" t="s">
        <v>264</v>
      </c>
      <c r="F765" s="4" t="s">
        <v>17</v>
      </c>
      <c r="G765" s="2" t="s">
        <v>17</v>
      </c>
      <c r="H765" s="5" t="s">
        <v>18</v>
      </c>
      <c r="I765" s="2"/>
      <c r="J765" s="2"/>
      <c r="K765" s="2" t="s">
        <v>19</v>
      </c>
      <c r="L765" s="2"/>
    </row>
    <row r="766" spans="1:12" ht="52" x14ac:dyDescent="0.2">
      <c r="A766" s="2" t="s">
        <v>1486</v>
      </c>
      <c r="B766" s="2" t="s">
        <v>1695</v>
      </c>
      <c r="C766" s="2" t="s">
        <v>1696</v>
      </c>
      <c r="D766" s="2" t="s">
        <v>1697</v>
      </c>
      <c r="E766" s="6" t="s">
        <v>264</v>
      </c>
      <c r="F766" s="4" t="s">
        <v>17</v>
      </c>
      <c r="G766" s="2" t="s">
        <v>17</v>
      </c>
      <c r="H766" s="5" t="s">
        <v>18</v>
      </c>
      <c r="I766" s="2"/>
      <c r="J766" s="2"/>
      <c r="K766" s="2" t="s">
        <v>19</v>
      </c>
      <c r="L766" s="2"/>
    </row>
    <row r="767" spans="1:12" ht="52" x14ac:dyDescent="0.2">
      <c r="A767" s="2" t="s">
        <v>1486</v>
      </c>
      <c r="B767" s="2" t="s">
        <v>1695</v>
      </c>
      <c r="C767" s="2" t="s">
        <v>1698</v>
      </c>
      <c r="D767" s="2" t="s">
        <v>1699</v>
      </c>
      <c r="E767" s="6" t="s">
        <v>264</v>
      </c>
      <c r="F767" s="4" t="s">
        <v>17</v>
      </c>
      <c r="G767" s="2" t="s">
        <v>17</v>
      </c>
      <c r="H767" s="5" t="s">
        <v>18</v>
      </c>
      <c r="I767" s="2"/>
      <c r="J767" s="2"/>
      <c r="K767" s="2" t="s">
        <v>19</v>
      </c>
      <c r="L767" s="2"/>
    </row>
    <row r="768" spans="1:12" ht="39" x14ac:dyDescent="0.2">
      <c r="A768" s="2" t="s">
        <v>1486</v>
      </c>
      <c r="B768" s="2" t="s">
        <v>1695</v>
      </c>
      <c r="C768" s="2" t="s">
        <v>1700</v>
      </c>
      <c r="D768" s="2" t="s">
        <v>1701</v>
      </c>
      <c r="E768" s="6" t="s">
        <v>264</v>
      </c>
      <c r="F768" s="4" t="s">
        <v>17</v>
      </c>
      <c r="G768" s="2" t="s">
        <v>17</v>
      </c>
      <c r="H768" s="5" t="s">
        <v>18</v>
      </c>
      <c r="I768" s="2"/>
      <c r="J768" s="2"/>
      <c r="K768" s="2" t="s">
        <v>19</v>
      </c>
      <c r="L768" s="2"/>
    </row>
    <row r="769" spans="1:12" ht="39" x14ac:dyDescent="0.2">
      <c r="A769" s="2" t="s">
        <v>1486</v>
      </c>
      <c r="B769" s="2" t="s">
        <v>1695</v>
      </c>
      <c r="C769" s="2" t="s">
        <v>1702</v>
      </c>
      <c r="D769" s="2" t="s">
        <v>1703</v>
      </c>
      <c r="E769" s="6" t="s">
        <v>264</v>
      </c>
      <c r="F769" s="4" t="s">
        <v>17</v>
      </c>
      <c r="G769" s="2" t="s">
        <v>17</v>
      </c>
      <c r="H769" s="5" t="s">
        <v>18</v>
      </c>
      <c r="I769" s="2"/>
      <c r="J769" s="2"/>
      <c r="K769" s="2" t="s">
        <v>19</v>
      </c>
      <c r="L769" s="2"/>
    </row>
    <row r="770" spans="1:12" ht="26" x14ac:dyDescent="0.2">
      <c r="A770" s="2" t="s">
        <v>1486</v>
      </c>
      <c r="B770" s="2" t="s">
        <v>1695</v>
      </c>
      <c r="C770" s="2" t="s">
        <v>1704</v>
      </c>
      <c r="D770" s="2" t="s">
        <v>1705</v>
      </c>
      <c r="E770" s="6" t="s">
        <v>264</v>
      </c>
      <c r="F770" s="4" t="s">
        <v>17</v>
      </c>
      <c r="G770" s="2" t="s">
        <v>17</v>
      </c>
      <c r="H770" s="5" t="s">
        <v>18</v>
      </c>
      <c r="I770" s="2"/>
      <c r="J770" s="2"/>
      <c r="K770" s="2" t="s">
        <v>19</v>
      </c>
      <c r="L770" s="2"/>
    </row>
    <row r="771" spans="1:12" ht="39" x14ac:dyDescent="0.2">
      <c r="A771" s="2" t="s">
        <v>1486</v>
      </c>
      <c r="B771" s="2" t="s">
        <v>1706</v>
      </c>
      <c r="C771" s="2" t="s">
        <v>1707</v>
      </c>
      <c r="D771" s="2" t="s">
        <v>1708</v>
      </c>
      <c r="E771" s="6" t="s">
        <v>264</v>
      </c>
      <c r="F771" s="4" t="s">
        <v>17</v>
      </c>
      <c r="G771" s="2" t="s">
        <v>17</v>
      </c>
      <c r="H771" s="5" t="s">
        <v>18</v>
      </c>
      <c r="I771" s="2"/>
      <c r="J771" s="2"/>
      <c r="K771" s="2" t="s">
        <v>19</v>
      </c>
      <c r="L771" s="2"/>
    </row>
    <row r="772" spans="1:12" ht="39" x14ac:dyDescent="0.2">
      <c r="A772" s="2" t="s">
        <v>1486</v>
      </c>
      <c r="B772" s="2" t="s">
        <v>1706</v>
      </c>
      <c r="C772" s="2" t="s">
        <v>1709</v>
      </c>
      <c r="D772" s="2" t="s">
        <v>1710</v>
      </c>
      <c r="E772" s="6" t="s">
        <v>264</v>
      </c>
      <c r="F772" s="4" t="s">
        <v>17</v>
      </c>
      <c r="G772" s="2" t="s">
        <v>17</v>
      </c>
      <c r="H772" s="5" t="s">
        <v>18</v>
      </c>
      <c r="I772" s="2"/>
      <c r="J772" s="2"/>
      <c r="K772" s="2" t="s">
        <v>19</v>
      </c>
      <c r="L772" s="2"/>
    </row>
    <row r="773" spans="1:12" ht="39" x14ac:dyDescent="0.2">
      <c r="A773" s="2" t="s">
        <v>1486</v>
      </c>
      <c r="B773" s="2" t="s">
        <v>1706</v>
      </c>
      <c r="C773" s="2" t="s">
        <v>1711</v>
      </c>
      <c r="D773" s="2" t="s">
        <v>1712</v>
      </c>
      <c r="E773" s="6" t="s">
        <v>264</v>
      </c>
      <c r="F773" s="4" t="s">
        <v>17</v>
      </c>
      <c r="G773" s="2" t="s">
        <v>17</v>
      </c>
      <c r="H773" s="5" t="s">
        <v>18</v>
      </c>
      <c r="I773" s="2"/>
      <c r="J773" s="2"/>
      <c r="K773" s="2" t="s">
        <v>19</v>
      </c>
      <c r="L773" s="2"/>
    </row>
    <row r="774" spans="1:12" ht="39" x14ac:dyDescent="0.2">
      <c r="A774" s="2" t="s">
        <v>1486</v>
      </c>
      <c r="B774" s="2" t="s">
        <v>1706</v>
      </c>
      <c r="C774" s="2" t="s">
        <v>1713</v>
      </c>
      <c r="D774" s="2" t="s">
        <v>1714</v>
      </c>
      <c r="E774" s="6" t="s">
        <v>264</v>
      </c>
      <c r="F774" s="4" t="s">
        <v>17</v>
      </c>
      <c r="G774" s="2" t="s">
        <v>17</v>
      </c>
      <c r="H774" s="5" t="s">
        <v>18</v>
      </c>
      <c r="I774" s="2"/>
      <c r="J774" s="2"/>
      <c r="K774" s="2" t="s">
        <v>19</v>
      </c>
      <c r="L774" s="2"/>
    </row>
    <row r="775" spans="1:12" ht="52" x14ac:dyDescent="0.2">
      <c r="A775" s="2" t="s">
        <v>1486</v>
      </c>
      <c r="B775" s="2" t="s">
        <v>1706</v>
      </c>
      <c r="C775" s="2" t="s">
        <v>1715</v>
      </c>
      <c r="D775" s="2" t="s">
        <v>1716</v>
      </c>
      <c r="E775" s="6" t="s">
        <v>264</v>
      </c>
      <c r="F775" s="4" t="s">
        <v>17</v>
      </c>
      <c r="G775" s="2" t="s">
        <v>17</v>
      </c>
      <c r="H775" s="5" t="s">
        <v>18</v>
      </c>
      <c r="I775" s="2"/>
      <c r="J775" s="2"/>
      <c r="K775" s="2" t="s">
        <v>19</v>
      </c>
      <c r="L775" s="2"/>
    </row>
    <row r="776" spans="1:12" ht="78" x14ac:dyDescent="0.2">
      <c r="A776" s="2" t="s">
        <v>1486</v>
      </c>
      <c r="B776" s="2" t="s">
        <v>1706</v>
      </c>
      <c r="C776" s="2" t="s">
        <v>1717</v>
      </c>
      <c r="D776" s="2" t="s">
        <v>1718</v>
      </c>
      <c r="E776" s="6" t="s">
        <v>264</v>
      </c>
      <c r="F776" s="8" t="s">
        <v>317</v>
      </c>
      <c r="G776" s="2" t="s">
        <v>1719</v>
      </c>
      <c r="H776" s="5" t="s">
        <v>18</v>
      </c>
      <c r="I776" s="2"/>
      <c r="J776" s="2"/>
      <c r="K776" s="2" t="s">
        <v>19</v>
      </c>
      <c r="L776" s="2"/>
    </row>
    <row r="777" spans="1:12" ht="52" x14ac:dyDescent="0.2">
      <c r="A777" s="2" t="s">
        <v>1486</v>
      </c>
      <c r="B777" s="2" t="s">
        <v>1720</v>
      </c>
      <c r="C777" s="2" t="s">
        <v>1721</v>
      </c>
      <c r="D777" s="2" t="s">
        <v>1722</v>
      </c>
      <c r="E777" s="6" t="s">
        <v>264</v>
      </c>
      <c r="F777" s="7" t="s">
        <v>272</v>
      </c>
      <c r="G777" s="2" t="s">
        <v>1723</v>
      </c>
      <c r="H777" s="5" t="s">
        <v>18</v>
      </c>
      <c r="I777" s="2"/>
      <c r="J777" s="2"/>
      <c r="K777" s="2" t="s">
        <v>19</v>
      </c>
      <c r="L777" s="2"/>
    </row>
    <row r="778" spans="1:12" ht="39" x14ac:dyDescent="0.2">
      <c r="A778" s="2" t="s">
        <v>1486</v>
      </c>
      <c r="B778" s="2" t="s">
        <v>1720</v>
      </c>
      <c r="C778" s="2" t="s">
        <v>1724</v>
      </c>
      <c r="D778" s="2" t="s">
        <v>1725</v>
      </c>
      <c r="E778" s="6" t="s">
        <v>264</v>
      </c>
      <c r="F778" s="4" t="s">
        <v>17</v>
      </c>
      <c r="G778" s="2" t="s">
        <v>17</v>
      </c>
      <c r="H778" s="5" t="s">
        <v>18</v>
      </c>
      <c r="I778" s="2"/>
      <c r="J778" s="2"/>
      <c r="K778" s="2" t="s">
        <v>19</v>
      </c>
      <c r="L778" s="2"/>
    </row>
    <row r="779" spans="1:12" ht="39" x14ac:dyDescent="0.2">
      <c r="A779" s="2" t="s">
        <v>1486</v>
      </c>
      <c r="B779" s="2" t="s">
        <v>1720</v>
      </c>
      <c r="C779" s="2" t="s">
        <v>1726</v>
      </c>
      <c r="D779" s="2" t="s">
        <v>1727</v>
      </c>
      <c r="E779" s="6" t="s">
        <v>264</v>
      </c>
      <c r="F779" s="4" t="s">
        <v>17</v>
      </c>
      <c r="G779" s="2" t="s">
        <v>17</v>
      </c>
      <c r="H779" s="5" t="s">
        <v>18</v>
      </c>
      <c r="I779" s="2"/>
      <c r="J779" s="2"/>
      <c r="K779" s="2" t="s">
        <v>19</v>
      </c>
      <c r="L779" s="2"/>
    </row>
    <row r="780" spans="1:12" ht="52" x14ac:dyDescent="0.2">
      <c r="A780" s="2" t="s">
        <v>1486</v>
      </c>
      <c r="B780" s="2" t="s">
        <v>1720</v>
      </c>
      <c r="C780" s="2" t="s">
        <v>1728</v>
      </c>
      <c r="D780" s="2" t="s">
        <v>1729</v>
      </c>
      <c r="E780" s="6" t="s">
        <v>264</v>
      </c>
      <c r="F780" s="7" t="s">
        <v>272</v>
      </c>
      <c r="G780" s="2" t="s">
        <v>1723</v>
      </c>
      <c r="H780" s="5" t="s">
        <v>18</v>
      </c>
      <c r="I780" s="2"/>
      <c r="J780" s="2"/>
      <c r="K780" s="2" t="s">
        <v>19</v>
      </c>
      <c r="L780" s="2"/>
    </row>
    <row r="781" spans="1:12" ht="52" x14ac:dyDescent="0.2">
      <c r="A781" s="2" t="s">
        <v>1486</v>
      </c>
      <c r="B781" s="2" t="s">
        <v>1720</v>
      </c>
      <c r="C781" s="2" t="s">
        <v>1730</v>
      </c>
      <c r="D781" s="2" t="s">
        <v>1731</v>
      </c>
      <c r="E781" s="6" t="s">
        <v>264</v>
      </c>
      <c r="F781" s="4" t="s">
        <v>17</v>
      </c>
      <c r="G781" s="2" t="s">
        <v>17</v>
      </c>
      <c r="H781" s="5" t="s">
        <v>18</v>
      </c>
      <c r="I781" s="2"/>
      <c r="J781" s="2"/>
      <c r="K781" s="2" t="s">
        <v>19</v>
      </c>
      <c r="L781" s="2"/>
    </row>
    <row r="782" spans="1:12" ht="39" x14ac:dyDescent="0.2">
      <c r="A782" s="2" t="s">
        <v>1486</v>
      </c>
      <c r="B782" s="2" t="s">
        <v>1720</v>
      </c>
      <c r="C782" s="2" t="s">
        <v>1732</v>
      </c>
      <c r="D782" s="2" t="s">
        <v>1733</v>
      </c>
      <c r="E782" s="6" t="s">
        <v>264</v>
      </c>
      <c r="F782" s="4" t="s">
        <v>17</v>
      </c>
      <c r="G782" s="2" t="s">
        <v>17</v>
      </c>
      <c r="H782" s="5" t="s">
        <v>18</v>
      </c>
      <c r="I782" s="2"/>
      <c r="J782" s="2"/>
      <c r="K782" s="2" t="s">
        <v>19</v>
      </c>
      <c r="L782" s="2"/>
    </row>
    <row r="783" spans="1:12" ht="39" x14ac:dyDescent="0.2">
      <c r="A783" s="2" t="s">
        <v>1486</v>
      </c>
      <c r="B783" s="2" t="s">
        <v>1720</v>
      </c>
      <c r="C783" s="2" t="s">
        <v>1734</v>
      </c>
      <c r="D783" s="2" t="s">
        <v>1735</v>
      </c>
      <c r="E783" s="6" t="s">
        <v>264</v>
      </c>
      <c r="F783" s="4" t="s">
        <v>17</v>
      </c>
      <c r="G783" s="2" t="s">
        <v>17</v>
      </c>
      <c r="H783" s="5" t="s">
        <v>18</v>
      </c>
      <c r="I783" s="2"/>
      <c r="J783" s="2"/>
      <c r="K783" s="2" t="s">
        <v>19</v>
      </c>
      <c r="L783" s="2"/>
    </row>
    <row r="784" spans="1:12" ht="65" x14ac:dyDescent="0.2">
      <c r="A784" s="2" t="s">
        <v>1486</v>
      </c>
      <c r="B784" s="2" t="s">
        <v>1720</v>
      </c>
      <c r="C784" s="2" t="s">
        <v>1736</v>
      </c>
      <c r="D784" s="2" t="s">
        <v>1737</v>
      </c>
      <c r="E784" s="6" t="s">
        <v>264</v>
      </c>
      <c r="F784" s="7" t="s">
        <v>272</v>
      </c>
      <c r="G784" s="2" t="s">
        <v>1738</v>
      </c>
      <c r="H784" s="5" t="s">
        <v>18</v>
      </c>
      <c r="I784" s="2"/>
      <c r="J784" s="2"/>
      <c r="K784" s="2" t="s">
        <v>19</v>
      </c>
      <c r="L784" s="2"/>
    </row>
    <row r="785" spans="1:12" ht="39" x14ac:dyDescent="0.2">
      <c r="A785" s="2" t="s">
        <v>1486</v>
      </c>
      <c r="B785" s="2" t="s">
        <v>1739</v>
      </c>
      <c r="C785" s="2" t="s">
        <v>1740</v>
      </c>
      <c r="D785" s="2" t="s">
        <v>1741</v>
      </c>
      <c r="E785" s="6" t="s">
        <v>264</v>
      </c>
      <c r="F785" s="4" t="s">
        <v>17</v>
      </c>
      <c r="G785" s="2" t="s">
        <v>17</v>
      </c>
      <c r="H785" s="5" t="s">
        <v>18</v>
      </c>
      <c r="I785" s="2"/>
      <c r="J785" s="2"/>
      <c r="K785" s="2" t="s">
        <v>19</v>
      </c>
      <c r="L785" s="2"/>
    </row>
    <row r="786" spans="1:12" ht="52" x14ac:dyDescent="0.2">
      <c r="A786" s="2" t="s">
        <v>1486</v>
      </c>
      <c r="B786" s="2" t="s">
        <v>1739</v>
      </c>
      <c r="C786" s="2" t="s">
        <v>1742</v>
      </c>
      <c r="D786" s="2" t="s">
        <v>1743</v>
      </c>
      <c r="E786" s="6" t="s">
        <v>264</v>
      </c>
      <c r="F786" s="4" t="s">
        <v>17</v>
      </c>
      <c r="G786" s="2" t="s">
        <v>17</v>
      </c>
      <c r="H786" s="5" t="s">
        <v>18</v>
      </c>
      <c r="I786" s="2"/>
      <c r="J786" s="2"/>
      <c r="K786" s="2" t="s">
        <v>19</v>
      </c>
      <c r="L786" s="2"/>
    </row>
    <row r="787" spans="1:12" ht="39" x14ac:dyDescent="0.2">
      <c r="A787" s="2" t="s">
        <v>1486</v>
      </c>
      <c r="B787" s="2" t="s">
        <v>1739</v>
      </c>
      <c r="C787" s="2" t="s">
        <v>1744</v>
      </c>
      <c r="D787" s="2" t="s">
        <v>1745</v>
      </c>
      <c r="E787" s="6" t="s">
        <v>264</v>
      </c>
      <c r="F787" s="4" t="s">
        <v>17</v>
      </c>
      <c r="G787" s="2" t="s">
        <v>17</v>
      </c>
      <c r="H787" s="5" t="s">
        <v>18</v>
      </c>
      <c r="I787" s="2"/>
      <c r="J787" s="2"/>
      <c r="K787" s="2" t="s">
        <v>19</v>
      </c>
      <c r="L787" s="2"/>
    </row>
    <row r="788" spans="1:12" ht="39" x14ac:dyDescent="0.2">
      <c r="A788" s="2" t="s">
        <v>1486</v>
      </c>
      <c r="B788" s="2" t="s">
        <v>1739</v>
      </c>
      <c r="C788" s="2" t="s">
        <v>1746</v>
      </c>
      <c r="D788" s="2" t="s">
        <v>1747</v>
      </c>
      <c r="E788" s="6" t="s">
        <v>264</v>
      </c>
      <c r="F788" s="4" t="s">
        <v>17</v>
      </c>
      <c r="G788" s="2" t="s">
        <v>17</v>
      </c>
      <c r="H788" s="5" t="s">
        <v>18</v>
      </c>
      <c r="I788" s="2"/>
      <c r="J788" s="2"/>
      <c r="K788" s="2" t="s">
        <v>19</v>
      </c>
      <c r="L788" s="2"/>
    </row>
    <row r="789" spans="1:12" ht="52" x14ac:dyDescent="0.2">
      <c r="A789" s="2" t="s">
        <v>1486</v>
      </c>
      <c r="B789" s="2" t="s">
        <v>1739</v>
      </c>
      <c r="C789" s="2" t="s">
        <v>1748</v>
      </c>
      <c r="D789" s="2" t="s">
        <v>1749</v>
      </c>
      <c r="E789" s="6" t="s">
        <v>264</v>
      </c>
      <c r="F789" s="4" t="s">
        <v>17</v>
      </c>
      <c r="G789" s="2" t="s">
        <v>17</v>
      </c>
      <c r="H789" s="5" t="s">
        <v>18</v>
      </c>
      <c r="I789" s="2"/>
      <c r="J789" s="2"/>
      <c r="K789" s="2" t="s">
        <v>19</v>
      </c>
      <c r="L789" s="2"/>
    </row>
    <row r="790" spans="1:12" ht="39" x14ac:dyDescent="0.2">
      <c r="A790" s="2" t="s">
        <v>1486</v>
      </c>
      <c r="B790" s="2" t="s">
        <v>1750</v>
      </c>
      <c r="C790" s="2" t="s">
        <v>1751</v>
      </c>
      <c r="D790" s="2" t="s">
        <v>1752</v>
      </c>
      <c r="E790" s="6" t="s">
        <v>264</v>
      </c>
      <c r="F790" s="4" t="s">
        <v>17</v>
      </c>
      <c r="G790" s="2" t="s">
        <v>17</v>
      </c>
      <c r="H790" s="5" t="s">
        <v>18</v>
      </c>
      <c r="I790" s="2"/>
      <c r="J790" s="2"/>
      <c r="K790" s="2" t="s">
        <v>19</v>
      </c>
      <c r="L790" s="2"/>
    </row>
    <row r="791" spans="1:12" ht="39" x14ac:dyDescent="0.2">
      <c r="A791" s="2" t="s">
        <v>1486</v>
      </c>
      <c r="B791" s="2" t="s">
        <v>1750</v>
      </c>
      <c r="C791" s="2" t="s">
        <v>1753</v>
      </c>
      <c r="D791" s="2" t="s">
        <v>1754</v>
      </c>
      <c r="E791" s="6" t="s">
        <v>264</v>
      </c>
      <c r="F791" s="4" t="s">
        <v>17</v>
      </c>
      <c r="G791" s="2" t="s">
        <v>17</v>
      </c>
      <c r="H791" s="5" t="s">
        <v>18</v>
      </c>
      <c r="I791" s="2"/>
      <c r="J791" s="2"/>
      <c r="K791" s="2" t="s">
        <v>19</v>
      </c>
      <c r="L791" s="2"/>
    </row>
    <row r="792" spans="1:12" ht="26" x14ac:dyDescent="0.2">
      <c r="A792" s="2" t="s">
        <v>1486</v>
      </c>
      <c r="B792" s="2" t="s">
        <v>1750</v>
      </c>
      <c r="C792" s="2" t="s">
        <v>1755</v>
      </c>
      <c r="D792" s="2" t="s">
        <v>1756</v>
      </c>
      <c r="E792" s="6" t="s">
        <v>264</v>
      </c>
      <c r="F792" s="4" t="s">
        <v>17</v>
      </c>
      <c r="G792" s="2" t="s">
        <v>17</v>
      </c>
      <c r="H792" s="5" t="s">
        <v>18</v>
      </c>
      <c r="I792" s="2"/>
      <c r="J792" s="2"/>
      <c r="K792" s="2" t="s">
        <v>19</v>
      </c>
      <c r="L792" s="2"/>
    </row>
    <row r="793" spans="1:12" ht="39" x14ac:dyDescent="0.2">
      <c r="A793" s="2" t="s">
        <v>1486</v>
      </c>
      <c r="B793" s="2" t="s">
        <v>1750</v>
      </c>
      <c r="C793" s="2" t="s">
        <v>1757</v>
      </c>
      <c r="D793" s="2" t="s">
        <v>1758</v>
      </c>
      <c r="E793" s="6" t="s">
        <v>264</v>
      </c>
      <c r="F793" s="4" t="s">
        <v>17</v>
      </c>
      <c r="G793" s="2" t="s">
        <v>17</v>
      </c>
      <c r="H793" s="5" t="s">
        <v>18</v>
      </c>
      <c r="I793" s="2"/>
      <c r="J793" s="2"/>
      <c r="K793" s="2" t="s">
        <v>19</v>
      </c>
      <c r="L793" s="2"/>
    </row>
    <row r="794" spans="1:12" ht="39" x14ac:dyDescent="0.2">
      <c r="A794" s="2" t="s">
        <v>1486</v>
      </c>
      <c r="B794" s="2" t="s">
        <v>1759</v>
      </c>
      <c r="C794" s="2" t="s">
        <v>1760</v>
      </c>
      <c r="D794" s="2" t="s">
        <v>1761</v>
      </c>
      <c r="E794" s="6" t="s">
        <v>264</v>
      </c>
      <c r="F794" s="4" t="s">
        <v>17</v>
      </c>
      <c r="G794" s="2" t="s">
        <v>17</v>
      </c>
      <c r="H794" s="5" t="s">
        <v>18</v>
      </c>
      <c r="I794" s="2"/>
      <c r="J794" s="2"/>
      <c r="K794" s="2" t="s">
        <v>19</v>
      </c>
      <c r="L794" s="2"/>
    </row>
    <row r="795" spans="1:12" ht="39" x14ac:dyDescent="0.2">
      <c r="A795" s="2" t="s">
        <v>1486</v>
      </c>
      <c r="B795" s="2" t="s">
        <v>1759</v>
      </c>
      <c r="C795" s="2" t="s">
        <v>1762</v>
      </c>
      <c r="D795" s="2" t="s">
        <v>1763</v>
      </c>
      <c r="E795" s="6" t="s">
        <v>264</v>
      </c>
      <c r="F795" s="4" t="s">
        <v>17</v>
      </c>
      <c r="G795" s="2" t="s">
        <v>17</v>
      </c>
      <c r="H795" s="5" t="s">
        <v>18</v>
      </c>
      <c r="I795" s="2"/>
      <c r="J795" s="2"/>
      <c r="K795" s="2" t="s">
        <v>19</v>
      </c>
      <c r="L795" s="2"/>
    </row>
    <row r="796" spans="1:12" ht="39" x14ac:dyDescent="0.2">
      <c r="A796" s="2" t="s">
        <v>1486</v>
      </c>
      <c r="B796" s="2" t="s">
        <v>1759</v>
      </c>
      <c r="C796" s="2" t="s">
        <v>1764</v>
      </c>
      <c r="D796" s="2" t="s">
        <v>1765</v>
      </c>
      <c r="E796" s="6" t="s">
        <v>264</v>
      </c>
      <c r="F796" s="4" t="s">
        <v>17</v>
      </c>
      <c r="G796" s="2" t="s">
        <v>17</v>
      </c>
      <c r="H796" s="5" t="s">
        <v>18</v>
      </c>
      <c r="I796" s="2"/>
      <c r="J796" s="2"/>
      <c r="K796" s="2" t="s">
        <v>19</v>
      </c>
      <c r="L796" s="2"/>
    </row>
    <row r="797" spans="1:12" ht="52" x14ac:dyDescent="0.2">
      <c r="A797" s="2" t="s">
        <v>1486</v>
      </c>
      <c r="B797" s="2" t="s">
        <v>1759</v>
      </c>
      <c r="C797" s="2" t="s">
        <v>1766</v>
      </c>
      <c r="D797" s="2" t="s">
        <v>1767</v>
      </c>
      <c r="E797" s="6" t="s">
        <v>264</v>
      </c>
      <c r="F797" s="7" t="s">
        <v>272</v>
      </c>
      <c r="G797" s="2" t="s">
        <v>1768</v>
      </c>
      <c r="H797" s="5" t="s">
        <v>18</v>
      </c>
      <c r="I797" s="2"/>
      <c r="J797" s="2"/>
      <c r="K797" s="2" t="s">
        <v>19</v>
      </c>
      <c r="L797" s="2"/>
    </row>
    <row r="798" spans="1:12" ht="39" x14ac:dyDescent="0.2">
      <c r="A798" s="2" t="s">
        <v>1486</v>
      </c>
      <c r="B798" s="2" t="s">
        <v>1759</v>
      </c>
      <c r="C798" s="2" t="s">
        <v>1769</v>
      </c>
      <c r="D798" s="2" t="s">
        <v>1770</v>
      </c>
      <c r="E798" s="6" t="s">
        <v>264</v>
      </c>
      <c r="F798" s="4" t="s">
        <v>17</v>
      </c>
      <c r="G798" s="2" t="s">
        <v>17</v>
      </c>
      <c r="H798" s="5" t="s">
        <v>18</v>
      </c>
      <c r="I798" s="2"/>
      <c r="J798" s="2"/>
      <c r="K798" s="2" t="s">
        <v>19</v>
      </c>
      <c r="L798" s="2"/>
    </row>
    <row r="799" spans="1:12" ht="52" x14ac:dyDescent="0.2">
      <c r="A799" s="2" t="s">
        <v>1486</v>
      </c>
      <c r="B799" s="2" t="s">
        <v>1515</v>
      </c>
      <c r="C799" s="2" t="s">
        <v>1771</v>
      </c>
      <c r="D799" s="2" t="s">
        <v>1772</v>
      </c>
      <c r="E799" s="6" t="s">
        <v>264</v>
      </c>
      <c r="F799" s="4" t="s">
        <v>17</v>
      </c>
      <c r="G799" s="2" t="s">
        <v>17</v>
      </c>
      <c r="H799" s="5" t="s">
        <v>18</v>
      </c>
      <c r="I799" s="2"/>
      <c r="J799" s="2"/>
      <c r="K799" s="2" t="s">
        <v>19</v>
      </c>
      <c r="L799" s="2"/>
    </row>
    <row r="800" spans="1:12" ht="52" x14ac:dyDescent="0.2">
      <c r="A800" s="2" t="s">
        <v>1486</v>
      </c>
      <c r="B800" s="2" t="s">
        <v>1515</v>
      </c>
      <c r="C800" s="2" t="s">
        <v>1773</v>
      </c>
      <c r="D800" s="2" t="s">
        <v>1774</v>
      </c>
      <c r="E800" s="6" t="s">
        <v>264</v>
      </c>
      <c r="F800" s="4" t="s">
        <v>17</v>
      </c>
      <c r="G800" s="2" t="s">
        <v>17</v>
      </c>
      <c r="H800" s="5" t="s">
        <v>18</v>
      </c>
      <c r="I800" s="2"/>
      <c r="J800" s="2"/>
      <c r="K800" s="2" t="s">
        <v>19</v>
      </c>
      <c r="L800" s="2"/>
    </row>
    <row r="801" spans="1:12" ht="78" x14ac:dyDescent="0.2">
      <c r="A801" s="2" t="s">
        <v>1486</v>
      </c>
      <c r="B801" s="2" t="s">
        <v>1515</v>
      </c>
      <c r="C801" s="2" t="s">
        <v>1775</v>
      </c>
      <c r="D801" s="2" t="s">
        <v>1776</v>
      </c>
      <c r="E801" s="6" t="s">
        <v>264</v>
      </c>
      <c r="F801" s="7" t="s">
        <v>272</v>
      </c>
      <c r="G801" s="2" t="s">
        <v>1777</v>
      </c>
      <c r="H801" s="5" t="s">
        <v>18</v>
      </c>
      <c r="I801" s="2"/>
      <c r="J801" s="2"/>
      <c r="K801" s="2" t="s">
        <v>19</v>
      </c>
      <c r="L801" s="2"/>
    </row>
    <row r="802" spans="1:12" ht="39" x14ac:dyDescent="0.2">
      <c r="A802" s="2" t="s">
        <v>1486</v>
      </c>
      <c r="B802" s="2" t="s">
        <v>1778</v>
      </c>
      <c r="C802" s="2" t="s">
        <v>1779</v>
      </c>
      <c r="D802" s="2" t="s">
        <v>1780</v>
      </c>
      <c r="E802" s="6" t="s">
        <v>264</v>
      </c>
      <c r="F802" s="4" t="s">
        <v>17</v>
      </c>
      <c r="G802" s="2" t="s">
        <v>17</v>
      </c>
      <c r="H802" s="5" t="s">
        <v>18</v>
      </c>
      <c r="I802" s="2"/>
      <c r="J802" s="2"/>
      <c r="K802" s="2" t="s">
        <v>19</v>
      </c>
      <c r="L802" s="2"/>
    </row>
    <row r="803" spans="1:12" ht="52" x14ac:dyDescent="0.2">
      <c r="A803" s="2" t="s">
        <v>1486</v>
      </c>
      <c r="B803" s="2" t="s">
        <v>1778</v>
      </c>
      <c r="C803" s="2" t="s">
        <v>1781</v>
      </c>
      <c r="D803" s="2" t="s">
        <v>1782</v>
      </c>
      <c r="E803" s="6" t="s">
        <v>264</v>
      </c>
      <c r="F803" s="4" t="s">
        <v>17</v>
      </c>
      <c r="G803" s="2" t="s">
        <v>17</v>
      </c>
      <c r="H803" s="5" t="s">
        <v>18</v>
      </c>
      <c r="I803" s="2"/>
      <c r="J803" s="2"/>
      <c r="K803" s="2" t="s">
        <v>19</v>
      </c>
      <c r="L803" s="2"/>
    </row>
    <row r="804" spans="1:12" ht="39" x14ac:dyDescent="0.2">
      <c r="A804" s="2" t="s">
        <v>1486</v>
      </c>
      <c r="B804" s="2" t="s">
        <v>1778</v>
      </c>
      <c r="C804" s="2" t="s">
        <v>1783</v>
      </c>
      <c r="D804" s="2" t="s">
        <v>1784</v>
      </c>
      <c r="E804" s="6" t="s">
        <v>264</v>
      </c>
      <c r="F804" s="4" t="s">
        <v>17</v>
      </c>
      <c r="G804" s="2" t="s">
        <v>17</v>
      </c>
      <c r="H804" s="5" t="s">
        <v>18</v>
      </c>
      <c r="I804" s="2"/>
      <c r="J804" s="2"/>
      <c r="K804" s="2" t="s">
        <v>19</v>
      </c>
      <c r="L804" s="2"/>
    </row>
    <row r="805" spans="1:12" ht="26" x14ac:dyDescent="0.2">
      <c r="A805" s="2" t="s">
        <v>1486</v>
      </c>
      <c r="B805" s="2" t="s">
        <v>1778</v>
      </c>
      <c r="C805" s="2" t="s">
        <v>1785</v>
      </c>
      <c r="D805" s="2" t="s">
        <v>1786</v>
      </c>
      <c r="E805" s="6" t="s">
        <v>264</v>
      </c>
      <c r="F805" s="4" t="s">
        <v>17</v>
      </c>
      <c r="G805" s="2" t="s">
        <v>17</v>
      </c>
      <c r="H805" s="5" t="s">
        <v>18</v>
      </c>
      <c r="I805" s="2"/>
      <c r="J805" s="2"/>
      <c r="K805" s="2" t="s">
        <v>19</v>
      </c>
      <c r="L805" s="2"/>
    </row>
    <row r="806" spans="1:12" ht="52" x14ac:dyDescent="0.2">
      <c r="A806" s="2" t="s">
        <v>1486</v>
      </c>
      <c r="B806" s="2" t="s">
        <v>1778</v>
      </c>
      <c r="C806" s="2" t="s">
        <v>1787</v>
      </c>
      <c r="D806" s="2" t="s">
        <v>1788</v>
      </c>
      <c r="E806" s="6" t="s">
        <v>264</v>
      </c>
      <c r="F806" s="4" t="s">
        <v>17</v>
      </c>
      <c r="G806" s="2" t="s">
        <v>17</v>
      </c>
      <c r="H806" s="5" t="s">
        <v>18</v>
      </c>
      <c r="I806" s="2"/>
      <c r="J806" s="2"/>
      <c r="K806" s="2" t="s">
        <v>19</v>
      </c>
      <c r="L806" s="2"/>
    </row>
    <row r="807" spans="1:12" ht="78" x14ac:dyDescent="0.2">
      <c r="A807" s="2" t="s">
        <v>1486</v>
      </c>
      <c r="B807" s="2" t="s">
        <v>1778</v>
      </c>
      <c r="C807" s="2" t="s">
        <v>1789</v>
      </c>
      <c r="D807" s="2" t="s">
        <v>1790</v>
      </c>
      <c r="E807" s="6" t="s">
        <v>264</v>
      </c>
      <c r="F807" s="4" t="s">
        <v>17</v>
      </c>
      <c r="G807" s="2" t="s">
        <v>17</v>
      </c>
      <c r="H807" s="5" t="s">
        <v>18</v>
      </c>
      <c r="I807" s="2"/>
      <c r="J807" s="2"/>
      <c r="K807" s="2" t="s">
        <v>19</v>
      </c>
      <c r="L807" s="2"/>
    </row>
    <row r="808" spans="1:12" ht="78" x14ac:dyDescent="0.2">
      <c r="A808" s="2" t="s">
        <v>1486</v>
      </c>
      <c r="B808" s="2" t="s">
        <v>1778</v>
      </c>
      <c r="C808" s="2" t="s">
        <v>1791</v>
      </c>
      <c r="D808" s="2" t="s">
        <v>1792</v>
      </c>
      <c r="E808" s="6" t="s">
        <v>264</v>
      </c>
      <c r="F808" s="4" t="s">
        <v>17</v>
      </c>
      <c r="G808" s="2" t="s">
        <v>17</v>
      </c>
      <c r="H808" s="5" t="s">
        <v>18</v>
      </c>
      <c r="I808" s="2"/>
      <c r="J808" s="2"/>
      <c r="K808" s="2" t="s">
        <v>19</v>
      </c>
      <c r="L808" s="2"/>
    </row>
    <row r="809" spans="1:12" ht="78" x14ac:dyDescent="0.2">
      <c r="A809" s="2" t="s">
        <v>1486</v>
      </c>
      <c r="B809" s="2" t="s">
        <v>1778</v>
      </c>
      <c r="C809" s="2" t="s">
        <v>1793</v>
      </c>
      <c r="D809" s="2" t="s">
        <v>1794</v>
      </c>
      <c r="E809" s="6" t="s">
        <v>264</v>
      </c>
      <c r="F809" s="4" t="s">
        <v>17</v>
      </c>
      <c r="G809" s="2" t="s">
        <v>17</v>
      </c>
      <c r="H809" s="5" t="s">
        <v>18</v>
      </c>
      <c r="I809" s="2"/>
      <c r="J809" s="2"/>
      <c r="K809" s="2" t="s">
        <v>19</v>
      </c>
      <c r="L809" s="2"/>
    </row>
    <row r="810" spans="1:12" ht="39" x14ac:dyDescent="0.2">
      <c r="A810" s="2" t="s">
        <v>1486</v>
      </c>
      <c r="B810" s="2" t="s">
        <v>1795</v>
      </c>
      <c r="C810" s="2" t="s">
        <v>1796</v>
      </c>
      <c r="D810" s="2" t="s">
        <v>1797</v>
      </c>
      <c r="E810" s="6" t="s">
        <v>264</v>
      </c>
      <c r="F810" s="4" t="s">
        <v>17</v>
      </c>
      <c r="G810" s="2" t="s">
        <v>17</v>
      </c>
      <c r="H810" s="5" t="s">
        <v>18</v>
      </c>
      <c r="I810" s="2"/>
      <c r="J810" s="2"/>
      <c r="K810" s="2" t="s">
        <v>19</v>
      </c>
      <c r="L810" s="2"/>
    </row>
    <row r="811" spans="1:12" ht="52" x14ac:dyDescent="0.2">
      <c r="A811" s="2" t="s">
        <v>1486</v>
      </c>
      <c r="B811" s="2" t="s">
        <v>1795</v>
      </c>
      <c r="C811" s="2" t="s">
        <v>1798</v>
      </c>
      <c r="D811" s="2" t="s">
        <v>1799</v>
      </c>
      <c r="E811" s="6" t="s">
        <v>264</v>
      </c>
      <c r="F811" s="4" t="s">
        <v>17</v>
      </c>
      <c r="G811" s="2" t="s">
        <v>17</v>
      </c>
      <c r="H811" s="5" t="s">
        <v>18</v>
      </c>
      <c r="I811" s="2"/>
      <c r="J811" s="2"/>
      <c r="K811" s="2" t="s">
        <v>19</v>
      </c>
      <c r="L811" s="2"/>
    </row>
    <row r="812" spans="1:12" ht="39" x14ac:dyDescent="0.2">
      <c r="A812" s="2" t="s">
        <v>1486</v>
      </c>
      <c r="B812" s="2" t="s">
        <v>1795</v>
      </c>
      <c r="C812" s="2" t="s">
        <v>1800</v>
      </c>
      <c r="D812" s="2" t="s">
        <v>1801</v>
      </c>
      <c r="E812" s="6" t="s">
        <v>264</v>
      </c>
      <c r="F812" s="4" t="s">
        <v>17</v>
      </c>
      <c r="G812" s="2" t="s">
        <v>17</v>
      </c>
      <c r="H812" s="5" t="s">
        <v>18</v>
      </c>
      <c r="I812" s="2"/>
      <c r="J812" s="2"/>
      <c r="K812" s="2" t="s">
        <v>19</v>
      </c>
      <c r="L812" s="2"/>
    </row>
    <row r="813" spans="1:12" ht="52" x14ac:dyDescent="0.2">
      <c r="A813" s="2" t="s">
        <v>1486</v>
      </c>
      <c r="B813" s="2" t="s">
        <v>1795</v>
      </c>
      <c r="C813" s="2" t="s">
        <v>1802</v>
      </c>
      <c r="D813" s="2" t="s">
        <v>1803</v>
      </c>
      <c r="E813" s="6" t="s">
        <v>264</v>
      </c>
      <c r="F813" s="4" t="s">
        <v>17</v>
      </c>
      <c r="G813" s="2" t="s">
        <v>17</v>
      </c>
      <c r="H813" s="5" t="s">
        <v>18</v>
      </c>
      <c r="I813" s="2"/>
      <c r="J813" s="2"/>
      <c r="K813" s="2" t="s">
        <v>19</v>
      </c>
      <c r="L813" s="2"/>
    </row>
    <row r="814" spans="1:12" ht="39" x14ac:dyDescent="0.2">
      <c r="A814" s="2" t="s">
        <v>1486</v>
      </c>
      <c r="B814" s="2" t="s">
        <v>1795</v>
      </c>
      <c r="C814" s="2" t="s">
        <v>1804</v>
      </c>
      <c r="D814" s="2" t="s">
        <v>1805</v>
      </c>
      <c r="E814" s="6" t="s">
        <v>264</v>
      </c>
      <c r="F814" s="4" t="s">
        <v>17</v>
      </c>
      <c r="G814" s="2" t="s">
        <v>17</v>
      </c>
      <c r="H814" s="5" t="s">
        <v>18</v>
      </c>
      <c r="I814" s="2"/>
      <c r="J814" s="2"/>
      <c r="K814" s="2" t="s">
        <v>19</v>
      </c>
      <c r="L814" s="2"/>
    </row>
    <row r="815" spans="1:12" ht="65" x14ac:dyDescent="0.2">
      <c r="A815" s="2" t="s">
        <v>1486</v>
      </c>
      <c r="B815" s="2" t="s">
        <v>1795</v>
      </c>
      <c r="C815" s="2" t="s">
        <v>1806</v>
      </c>
      <c r="D815" s="2" t="s">
        <v>1807</v>
      </c>
      <c r="E815" s="6" t="s">
        <v>264</v>
      </c>
      <c r="F815" s="4" t="s">
        <v>17</v>
      </c>
      <c r="G815" s="2" t="s">
        <v>17</v>
      </c>
      <c r="H815" s="5" t="s">
        <v>18</v>
      </c>
      <c r="I815" s="2"/>
      <c r="J815" s="2"/>
      <c r="K815" s="2" t="s">
        <v>19</v>
      </c>
      <c r="L815" s="2"/>
    </row>
    <row r="816" spans="1:12" ht="39" x14ac:dyDescent="0.2">
      <c r="A816" s="2" t="s">
        <v>1486</v>
      </c>
      <c r="B816" s="2" t="s">
        <v>1808</v>
      </c>
      <c r="C816" s="2" t="s">
        <v>1809</v>
      </c>
      <c r="D816" s="2" t="s">
        <v>1810</v>
      </c>
      <c r="E816" s="6" t="s">
        <v>264</v>
      </c>
      <c r="F816" s="4" t="s">
        <v>17</v>
      </c>
      <c r="G816" s="2" t="s">
        <v>17</v>
      </c>
      <c r="H816" s="5" t="s">
        <v>18</v>
      </c>
      <c r="I816" s="2"/>
      <c r="J816" s="2"/>
      <c r="K816" s="2" t="s">
        <v>19</v>
      </c>
      <c r="L816" s="2"/>
    </row>
    <row r="817" spans="1:12" ht="39" x14ac:dyDescent="0.2">
      <c r="A817" s="2" t="s">
        <v>1486</v>
      </c>
      <c r="B817" s="2" t="s">
        <v>1808</v>
      </c>
      <c r="C817" s="2" t="s">
        <v>1811</v>
      </c>
      <c r="D817" s="2" t="s">
        <v>1812</v>
      </c>
      <c r="E817" s="6" t="s">
        <v>264</v>
      </c>
      <c r="F817" s="4" t="s">
        <v>17</v>
      </c>
      <c r="G817" s="2" t="s">
        <v>17</v>
      </c>
      <c r="H817" s="5" t="s">
        <v>18</v>
      </c>
      <c r="I817" s="2"/>
      <c r="J817" s="2"/>
      <c r="K817" s="2" t="s">
        <v>19</v>
      </c>
      <c r="L817" s="2"/>
    </row>
    <row r="818" spans="1:12" ht="39" x14ac:dyDescent="0.2">
      <c r="A818" s="2" t="s">
        <v>1486</v>
      </c>
      <c r="B818" s="2" t="s">
        <v>1808</v>
      </c>
      <c r="C818" s="2" t="s">
        <v>1813</v>
      </c>
      <c r="D818" s="2" t="s">
        <v>1814</v>
      </c>
      <c r="E818" s="6" t="s">
        <v>264</v>
      </c>
      <c r="F818" s="4" t="s">
        <v>17</v>
      </c>
      <c r="G818" s="2" t="s">
        <v>17</v>
      </c>
      <c r="H818" s="5" t="s">
        <v>18</v>
      </c>
      <c r="I818" s="2"/>
      <c r="J818" s="2"/>
      <c r="K818" s="2" t="s">
        <v>19</v>
      </c>
      <c r="L818" s="2"/>
    </row>
    <row r="819" spans="1:12" ht="39" x14ac:dyDescent="0.2">
      <c r="A819" s="2" t="s">
        <v>1486</v>
      </c>
      <c r="B819" s="2" t="s">
        <v>1808</v>
      </c>
      <c r="C819" s="2" t="s">
        <v>1815</v>
      </c>
      <c r="D819" s="2" t="s">
        <v>1816</v>
      </c>
      <c r="E819" s="6" t="s">
        <v>264</v>
      </c>
      <c r="F819" s="4" t="s">
        <v>17</v>
      </c>
      <c r="G819" s="2" t="s">
        <v>17</v>
      </c>
      <c r="H819" s="5" t="s">
        <v>18</v>
      </c>
      <c r="I819" s="2"/>
      <c r="J819" s="2"/>
      <c r="K819" s="2" t="s">
        <v>19</v>
      </c>
      <c r="L819" s="2"/>
    </row>
    <row r="820" spans="1:12" ht="52" x14ac:dyDescent="0.2">
      <c r="A820" s="2" t="s">
        <v>1486</v>
      </c>
      <c r="B820" s="2" t="s">
        <v>1808</v>
      </c>
      <c r="C820" s="2" t="s">
        <v>1817</v>
      </c>
      <c r="D820" s="2" t="s">
        <v>1818</v>
      </c>
      <c r="E820" s="6" t="s">
        <v>264</v>
      </c>
      <c r="F820" s="4" t="s">
        <v>17</v>
      </c>
      <c r="G820" s="2" t="s">
        <v>17</v>
      </c>
      <c r="H820" s="5" t="s">
        <v>18</v>
      </c>
      <c r="I820" s="2"/>
      <c r="J820" s="2"/>
      <c r="K820" s="2" t="s">
        <v>19</v>
      </c>
      <c r="L820" s="2"/>
    </row>
    <row r="821" spans="1:12" ht="91" x14ac:dyDescent="0.2">
      <c r="A821" s="2" t="s">
        <v>1819</v>
      </c>
      <c r="B821" s="2" t="s">
        <v>1820</v>
      </c>
      <c r="C821" s="2" t="s">
        <v>1821</v>
      </c>
      <c r="D821" s="2" t="s">
        <v>1822</v>
      </c>
      <c r="E821" s="6" t="s">
        <v>16</v>
      </c>
      <c r="F821" s="7" t="s">
        <v>272</v>
      </c>
      <c r="G821" s="2" t="s">
        <v>1823</v>
      </c>
      <c r="H821" s="5" t="s">
        <v>2398</v>
      </c>
      <c r="I821" s="2" t="s">
        <v>2462</v>
      </c>
      <c r="J821" s="2"/>
      <c r="K821" s="2" t="s">
        <v>19</v>
      </c>
      <c r="L821" s="2"/>
    </row>
    <row r="822" spans="1:12" ht="39" x14ac:dyDescent="0.2">
      <c r="A822" s="2" t="s">
        <v>1819</v>
      </c>
      <c r="B822" s="2" t="s">
        <v>1820</v>
      </c>
      <c r="C822" s="2" t="s">
        <v>1824</v>
      </c>
      <c r="D822" s="2" t="s">
        <v>1825</v>
      </c>
      <c r="E822" s="6" t="s">
        <v>264</v>
      </c>
      <c r="F822" s="4" t="s">
        <v>17</v>
      </c>
      <c r="G822" s="2" t="s">
        <v>17</v>
      </c>
      <c r="H822" s="5" t="s">
        <v>18</v>
      </c>
      <c r="I822" s="2"/>
      <c r="J822" s="2"/>
      <c r="K822" s="2" t="s">
        <v>19</v>
      </c>
      <c r="L822" s="2"/>
    </row>
    <row r="823" spans="1:12" ht="52" x14ac:dyDescent="0.2">
      <c r="A823" s="2" t="s">
        <v>1819</v>
      </c>
      <c r="B823" s="2" t="s">
        <v>1820</v>
      </c>
      <c r="C823" s="2" t="s">
        <v>1826</v>
      </c>
      <c r="D823" s="2" t="s">
        <v>1827</v>
      </c>
      <c r="E823" s="6" t="s">
        <v>264</v>
      </c>
      <c r="F823" s="4" t="s">
        <v>17</v>
      </c>
      <c r="G823" s="2" t="s">
        <v>17</v>
      </c>
      <c r="H823" s="5" t="s">
        <v>18</v>
      </c>
      <c r="I823" s="2"/>
      <c r="J823" s="2"/>
      <c r="K823" s="2" t="s">
        <v>19</v>
      </c>
      <c r="L823" s="2"/>
    </row>
    <row r="824" spans="1:12" ht="52" x14ac:dyDescent="0.2">
      <c r="A824" s="2" t="s">
        <v>1819</v>
      </c>
      <c r="B824" s="2" t="s">
        <v>1820</v>
      </c>
      <c r="C824" s="2" t="s">
        <v>1828</v>
      </c>
      <c r="D824" s="2" t="s">
        <v>1829</v>
      </c>
      <c r="E824" s="6" t="s">
        <v>264</v>
      </c>
      <c r="F824" s="4" t="s">
        <v>17</v>
      </c>
      <c r="G824" s="2" t="s">
        <v>17</v>
      </c>
      <c r="H824" s="5" t="s">
        <v>18</v>
      </c>
      <c r="I824" s="2"/>
      <c r="J824" s="2"/>
      <c r="K824" s="2" t="s">
        <v>19</v>
      </c>
      <c r="L824" s="2"/>
    </row>
    <row r="825" spans="1:12" ht="39" x14ac:dyDescent="0.2">
      <c r="A825" s="2" t="s">
        <v>1819</v>
      </c>
      <c r="B825" s="2" t="s">
        <v>1820</v>
      </c>
      <c r="C825" s="2" t="s">
        <v>1830</v>
      </c>
      <c r="D825" s="2" t="s">
        <v>1831</v>
      </c>
      <c r="E825" s="6" t="s">
        <v>264</v>
      </c>
      <c r="F825" s="4" t="s">
        <v>17</v>
      </c>
      <c r="G825" s="2" t="s">
        <v>17</v>
      </c>
      <c r="H825" s="5" t="s">
        <v>18</v>
      </c>
      <c r="I825" s="2"/>
      <c r="J825" s="2"/>
      <c r="K825" s="2" t="s">
        <v>19</v>
      </c>
      <c r="L825" s="2"/>
    </row>
    <row r="826" spans="1:12" ht="39" x14ac:dyDescent="0.2">
      <c r="A826" s="2" t="s">
        <v>1819</v>
      </c>
      <c r="B826" s="2" t="s">
        <v>1820</v>
      </c>
      <c r="C826" s="2" t="s">
        <v>1832</v>
      </c>
      <c r="D826" s="2" t="s">
        <v>1833</v>
      </c>
      <c r="E826" s="6" t="s">
        <v>264</v>
      </c>
      <c r="F826" s="4" t="s">
        <v>17</v>
      </c>
      <c r="G826" s="2" t="s">
        <v>17</v>
      </c>
      <c r="H826" s="5" t="s">
        <v>18</v>
      </c>
      <c r="I826" s="2"/>
      <c r="J826" s="2"/>
      <c r="K826" s="2" t="s">
        <v>19</v>
      </c>
      <c r="L826" s="2"/>
    </row>
    <row r="827" spans="1:12" ht="39" x14ac:dyDescent="0.2">
      <c r="A827" s="2" t="s">
        <v>1819</v>
      </c>
      <c r="B827" s="2" t="s">
        <v>1820</v>
      </c>
      <c r="C827" s="2" t="s">
        <v>1834</v>
      </c>
      <c r="D827" s="2" t="s">
        <v>1835</v>
      </c>
      <c r="E827" s="6" t="s">
        <v>264</v>
      </c>
      <c r="F827" s="4" t="s">
        <v>17</v>
      </c>
      <c r="G827" s="2" t="s">
        <v>17</v>
      </c>
      <c r="H827" s="5" t="s">
        <v>18</v>
      </c>
      <c r="I827" s="2"/>
      <c r="J827" s="2"/>
      <c r="K827" s="2" t="s">
        <v>19</v>
      </c>
      <c r="L827" s="2"/>
    </row>
    <row r="828" spans="1:12" ht="52" x14ac:dyDescent="0.2">
      <c r="A828" s="2" t="s">
        <v>1819</v>
      </c>
      <c r="B828" s="2" t="s">
        <v>1820</v>
      </c>
      <c r="C828" s="2" t="s">
        <v>1836</v>
      </c>
      <c r="D828" s="2" t="s">
        <v>1837</v>
      </c>
      <c r="E828" s="6" t="s">
        <v>264</v>
      </c>
      <c r="F828" s="4" t="s">
        <v>17</v>
      </c>
      <c r="G828" s="2" t="s">
        <v>17</v>
      </c>
      <c r="H828" s="5" t="s">
        <v>18</v>
      </c>
      <c r="I828" s="2"/>
      <c r="J828" s="2"/>
      <c r="K828" s="2" t="s">
        <v>19</v>
      </c>
      <c r="L828" s="2"/>
    </row>
    <row r="829" spans="1:12" ht="65" x14ac:dyDescent="0.2">
      <c r="A829" s="2" t="s">
        <v>1819</v>
      </c>
      <c r="B829" s="2" t="s">
        <v>1820</v>
      </c>
      <c r="C829" s="2" t="s">
        <v>1838</v>
      </c>
      <c r="D829" s="2" t="s">
        <v>1839</v>
      </c>
      <c r="E829" s="6" t="s">
        <v>16</v>
      </c>
      <c r="F829" s="8" t="s">
        <v>317</v>
      </c>
      <c r="G829" s="2" t="s">
        <v>1840</v>
      </c>
      <c r="H829" s="5" t="s">
        <v>2398</v>
      </c>
      <c r="I829" s="2" t="s">
        <v>2463</v>
      </c>
      <c r="J829" s="2"/>
      <c r="K829" s="2" t="s">
        <v>19</v>
      </c>
      <c r="L829" s="2"/>
    </row>
    <row r="830" spans="1:12" ht="26" x14ac:dyDescent="0.2">
      <c r="A830" s="2" t="s">
        <v>1819</v>
      </c>
      <c r="B830" s="2" t="s">
        <v>1820</v>
      </c>
      <c r="C830" s="2" t="s">
        <v>1841</v>
      </c>
      <c r="D830" s="2" t="s">
        <v>1842</v>
      </c>
      <c r="E830" s="6" t="s">
        <v>264</v>
      </c>
      <c r="F830" s="4" t="s">
        <v>17</v>
      </c>
      <c r="G830" s="2" t="s">
        <v>17</v>
      </c>
      <c r="H830" s="5" t="s">
        <v>18</v>
      </c>
      <c r="I830" s="2"/>
      <c r="J830" s="2"/>
      <c r="K830" s="2" t="s">
        <v>19</v>
      </c>
      <c r="L830" s="2"/>
    </row>
    <row r="831" spans="1:12" ht="65" x14ac:dyDescent="0.2">
      <c r="A831" s="2" t="s">
        <v>1819</v>
      </c>
      <c r="B831" s="2" t="s">
        <v>1843</v>
      </c>
      <c r="C831" s="2" t="s">
        <v>1844</v>
      </c>
      <c r="D831" s="2" t="s">
        <v>1845</v>
      </c>
      <c r="E831" s="6" t="s">
        <v>264</v>
      </c>
      <c r="F831" s="4" t="s">
        <v>17</v>
      </c>
      <c r="G831" s="2" t="s">
        <v>17</v>
      </c>
      <c r="H831" s="5" t="s">
        <v>18</v>
      </c>
      <c r="I831" s="2"/>
      <c r="J831" s="2"/>
      <c r="K831" s="2" t="s">
        <v>19</v>
      </c>
      <c r="L831" s="2"/>
    </row>
    <row r="832" spans="1:12" ht="78" x14ac:dyDescent="0.2">
      <c r="A832" s="2" t="s">
        <v>1819</v>
      </c>
      <c r="B832" s="2" t="s">
        <v>1843</v>
      </c>
      <c r="C832" s="2" t="s">
        <v>1846</v>
      </c>
      <c r="D832" s="2" t="s">
        <v>1847</v>
      </c>
      <c r="E832" s="6" t="s">
        <v>16</v>
      </c>
      <c r="F832" s="8" t="s">
        <v>317</v>
      </c>
      <c r="G832" s="2" t="s">
        <v>1848</v>
      </c>
      <c r="H832" s="5" t="s">
        <v>2398</v>
      </c>
      <c r="I832" s="2" t="s">
        <v>2464</v>
      </c>
      <c r="J832" s="2"/>
      <c r="K832" s="2" t="s">
        <v>19</v>
      </c>
      <c r="L832" s="2"/>
    </row>
    <row r="833" spans="1:12" ht="52" x14ac:dyDescent="0.2">
      <c r="A833" s="2" t="s">
        <v>1819</v>
      </c>
      <c r="B833" s="2" t="s">
        <v>1843</v>
      </c>
      <c r="C833" s="2" t="s">
        <v>1849</v>
      </c>
      <c r="D833" s="2" t="s">
        <v>1850</v>
      </c>
      <c r="E833" s="6" t="s">
        <v>264</v>
      </c>
      <c r="F833" s="4" t="s">
        <v>17</v>
      </c>
      <c r="G833" s="2" t="s">
        <v>17</v>
      </c>
      <c r="H833" s="5" t="s">
        <v>18</v>
      </c>
      <c r="I833" s="2"/>
      <c r="J833" s="2"/>
      <c r="K833" s="2" t="s">
        <v>19</v>
      </c>
      <c r="L833" s="2"/>
    </row>
    <row r="834" spans="1:12" ht="39" x14ac:dyDescent="0.2">
      <c r="A834" s="2" t="s">
        <v>1819</v>
      </c>
      <c r="B834" s="2" t="s">
        <v>1843</v>
      </c>
      <c r="C834" s="2" t="s">
        <v>1851</v>
      </c>
      <c r="D834" s="2" t="s">
        <v>1852</v>
      </c>
      <c r="E834" s="6" t="s">
        <v>264</v>
      </c>
      <c r="F834" s="4" t="s">
        <v>17</v>
      </c>
      <c r="G834" s="2" t="s">
        <v>17</v>
      </c>
      <c r="H834" s="5" t="s">
        <v>18</v>
      </c>
      <c r="I834" s="2"/>
      <c r="J834" s="2"/>
      <c r="K834" s="2" t="s">
        <v>19</v>
      </c>
      <c r="L834" s="2"/>
    </row>
    <row r="835" spans="1:12" ht="39" x14ac:dyDescent="0.2">
      <c r="A835" s="2" t="s">
        <v>1819</v>
      </c>
      <c r="B835" s="2" t="s">
        <v>1843</v>
      </c>
      <c r="C835" s="2" t="s">
        <v>1853</v>
      </c>
      <c r="D835" s="2" t="s">
        <v>1854</v>
      </c>
      <c r="E835" s="6" t="s">
        <v>264</v>
      </c>
      <c r="F835" s="4" t="s">
        <v>17</v>
      </c>
      <c r="G835" s="2" t="s">
        <v>17</v>
      </c>
      <c r="H835" s="5" t="s">
        <v>18</v>
      </c>
      <c r="I835" s="2"/>
      <c r="J835" s="2"/>
      <c r="K835" s="2" t="s">
        <v>19</v>
      </c>
      <c r="L835" s="2"/>
    </row>
    <row r="836" spans="1:12" ht="39" x14ac:dyDescent="0.2">
      <c r="A836" s="2" t="s">
        <v>1819</v>
      </c>
      <c r="B836" s="2" t="s">
        <v>1843</v>
      </c>
      <c r="C836" s="2" t="s">
        <v>1855</v>
      </c>
      <c r="D836" s="2" t="s">
        <v>1856</v>
      </c>
      <c r="E836" s="6" t="s">
        <v>264</v>
      </c>
      <c r="F836" s="4" t="s">
        <v>17</v>
      </c>
      <c r="G836" s="2" t="s">
        <v>17</v>
      </c>
      <c r="H836" s="5" t="s">
        <v>18</v>
      </c>
      <c r="I836" s="2"/>
      <c r="J836" s="2"/>
      <c r="K836" s="2" t="s">
        <v>19</v>
      </c>
      <c r="L836" s="2"/>
    </row>
    <row r="837" spans="1:12" ht="52" x14ac:dyDescent="0.2">
      <c r="A837" s="2" t="s">
        <v>1819</v>
      </c>
      <c r="B837" s="2" t="s">
        <v>1857</v>
      </c>
      <c r="C837" s="2" t="s">
        <v>1858</v>
      </c>
      <c r="D837" s="2" t="s">
        <v>1859</v>
      </c>
      <c r="E837" s="6" t="s">
        <v>264</v>
      </c>
      <c r="F837" s="4" t="s">
        <v>17</v>
      </c>
      <c r="G837" s="2" t="s">
        <v>17</v>
      </c>
      <c r="H837" s="5" t="s">
        <v>18</v>
      </c>
      <c r="I837" s="2"/>
      <c r="J837" s="2"/>
      <c r="K837" s="2" t="s">
        <v>19</v>
      </c>
      <c r="L837" s="2"/>
    </row>
    <row r="838" spans="1:12" ht="39" x14ac:dyDescent="0.2">
      <c r="A838" s="2" t="s">
        <v>1819</v>
      </c>
      <c r="B838" s="2" t="s">
        <v>1857</v>
      </c>
      <c r="C838" s="2" t="s">
        <v>1860</v>
      </c>
      <c r="D838" s="2" t="s">
        <v>1861</v>
      </c>
      <c r="E838" s="6" t="s">
        <v>264</v>
      </c>
      <c r="F838" s="4" t="s">
        <v>17</v>
      </c>
      <c r="G838" s="2" t="s">
        <v>17</v>
      </c>
      <c r="H838" s="5" t="s">
        <v>18</v>
      </c>
      <c r="I838" s="2"/>
      <c r="J838" s="2"/>
      <c r="K838" s="2" t="s">
        <v>19</v>
      </c>
      <c r="L838" s="2"/>
    </row>
    <row r="839" spans="1:12" ht="39" x14ac:dyDescent="0.2">
      <c r="A839" s="2" t="s">
        <v>1819</v>
      </c>
      <c r="B839" s="2" t="s">
        <v>1857</v>
      </c>
      <c r="C839" s="2" t="s">
        <v>1862</v>
      </c>
      <c r="D839" s="2" t="s">
        <v>1863</v>
      </c>
      <c r="E839" s="6" t="s">
        <v>264</v>
      </c>
      <c r="F839" s="4" t="s">
        <v>17</v>
      </c>
      <c r="G839" s="2" t="s">
        <v>17</v>
      </c>
      <c r="H839" s="5" t="s">
        <v>18</v>
      </c>
      <c r="I839" s="2"/>
      <c r="J839" s="2"/>
      <c r="K839" s="2" t="s">
        <v>19</v>
      </c>
      <c r="L839" s="2"/>
    </row>
    <row r="840" spans="1:12" ht="39" x14ac:dyDescent="0.2">
      <c r="A840" s="2" t="s">
        <v>1819</v>
      </c>
      <c r="B840" s="2" t="s">
        <v>1857</v>
      </c>
      <c r="C840" s="2" t="s">
        <v>1864</v>
      </c>
      <c r="D840" s="2" t="s">
        <v>1865</v>
      </c>
      <c r="E840" s="6" t="s">
        <v>264</v>
      </c>
      <c r="F840" s="4" t="s">
        <v>17</v>
      </c>
      <c r="G840" s="2" t="s">
        <v>17</v>
      </c>
      <c r="H840" s="5" t="s">
        <v>18</v>
      </c>
      <c r="I840" s="2"/>
      <c r="J840" s="2"/>
      <c r="K840" s="2" t="s">
        <v>19</v>
      </c>
      <c r="L840" s="2"/>
    </row>
    <row r="841" spans="1:12" ht="39" x14ac:dyDescent="0.2">
      <c r="A841" s="2" t="s">
        <v>1819</v>
      </c>
      <c r="B841" s="2" t="s">
        <v>1857</v>
      </c>
      <c r="C841" s="2" t="s">
        <v>1866</v>
      </c>
      <c r="D841" s="2" t="s">
        <v>1867</v>
      </c>
      <c r="E841" s="6" t="s">
        <v>264</v>
      </c>
      <c r="F841" s="4" t="s">
        <v>17</v>
      </c>
      <c r="G841" s="2" t="s">
        <v>17</v>
      </c>
      <c r="H841" s="5" t="s">
        <v>18</v>
      </c>
      <c r="I841" s="2"/>
      <c r="J841" s="2"/>
      <c r="K841" s="2" t="s">
        <v>19</v>
      </c>
      <c r="L841" s="2"/>
    </row>
    <row r="842" spans="1:12" ht="117" x14ac:dyDescent="0.2">
      <c r="A842" s="2" t="s">
        <v>1819</v>
      </c>
      <c r="B842" s="2" t="s">
        <v>1857</v>
      </c>
      <c r="C842" s="2" t="s">
        <v>1868</v>
      </c>
      <c r="D842" s="2" t="s">
        <v>1869</v>
      </c>
      <c r="E842" s="6" t="s">
        <v>16</v>
      </c>
      <c r="F842" s="8" t="s">
        <v>317</v>
      </c>
      <c r="G842" s="2" t="s">
        <v>1870</v>
      </c>
      <c r="H842" s="5" t="s">
        <v>2398</v>
      </c>
      <c r="I842" s="2" t="s">
        <v>2465</v>
      </c>
      <c r="J842" s="2"/>
      <c r="K842" s="2" t="s">
        <v>19</v>
      </c>
      <c r="L842" s="2"/>
    </row>
    <row r="843" spans="1:12" ht="52" x14ac:dyDescent="0.2">
      <c r="A843" s="2" t="s">
        <v>1819</v>
      </c>
      <c r="B843" s="2" t="s">
        <v>1857</v>
      </c>
      <c r="C843" s="2" t="s">
        <v>1871</v>
      </c>
      <c r="D843" s="2" t="s">
        <v>1872</v>
      </c>
      <c r="E843" s="6" t="s">
        <v>264</v>
      </c>
      <c r="F843" s="4" t="s">
        <v>17</v>
      </c>
      <c r="G843" s="2" t="s">
        <v>17</v>
      </c>
      <c r="H843" s="5" t="s">
        <v>18</v>
      </c>
      <c r="I843" s="2"/>
      <c r="J843" s="2"/>
      <c r="K843" s="2" t="s">
        <v>19</v>
      </c>
      <c r="L843" s="2"/>
    </row>
    <row r="844" spans="1:12" ht="39" x14ac:dyDescent="0.2">
      <c r="A844" s="2" t="s">
        <v>1819</v>
      </c>
      <c r="B844" s="2" t="s">
        <v>1857</v>
      </c>
      <c r="C844" s="2" t="s">
        <v>1873</v>
      </c>
      <c r="D844" s="2" t="s">
        <v>1874</v>
      </c>
      <c r="E844" s="6" t="s">
        <v>264</v>
      </c>
      <c r="F844" s="4" t="s">
        <v>17</v>
      </c>
      <c r="G844" s="2" t="s">
        <v>17</v>
      </c>
      <c r="H844" s="5" t="s">
        <v>18</v>
      </c>
      <c r="I844" s="2"/>
      <c r="J844" s="2"/>
      <c r="K844" s="2" t="s">
        <v>19</v>
      </c>
      <c r="L844" s="2"/>
    </row>
    <row r="845" spans="1:12" ht="39" x14ac:dyDescent="0.2">
      <c r="A845" s="2" t="s">
        <v>1819</v>
      </c>
      <c r="B845" s="2" t="s">
        <v>1875</v>
      </c>
      <c r="C845" s="2" t="s">
        <v>1876</v>
      </c>
      <c r="D845" s="2" t="s">
        <v>1877</v>
      </c>
      <c r="E845" s="6" t="s">
        <v>264</v>
      </c>
      <c r="F845" s="4" t="s">
        <v>17</v>
      </c>
      <c r="G845" s="2" t="s">
        <v>17</v>
      </c>
      <c r="H845" s="5" t="s">
        <v>18</v>
      </c>
      <c r="I845" s="2"/>
      <c r="J845" s="2"/>
      <c r="K845" s="2" t="s">
        <v>19</v>
      </c>
      <c r="L845" s="2"/>
    </row>
    <row r="846" spans="1:12" ht="52" x14ac:dyDescent="0.2">
      <c r="A846" s="2" t="s">
        <v>1819</v>
      </c>
      <c r="B846" s="2" t="s">
        <v>1875</v>
      </c>
      <c r="C846" s="2" t="s">
        <v>1878</v>
      </c>
      <c r="D846" s="2" t="s">
        <v>1879</v>
      </c>
      <c r="E846" s="6" t="s">
        <v>264</v>
      </c>
      <c r="F846" s="4" t="s">
        <v>17</v>
      </c>
      <c r="G846" s="2" t="s">
        <v>17</v>
      </c>
      <c r="H846" s="5" t="s">
        <v>18</v>
      </c>
      <c r="I846" s="2"/>
      <c r="J846" s="2"/>
      <c r="K846" s="2" t="s">
        <v>19</v>
      </c>
      <c r="L846" s="2"/>
    </row>
    <row r="847" spans="1:12" ht="52" x14ac:dyDescent="0.2">
      <c r="A847" s="2" t="s">
        <v>1819</v>
      </c>
      <c r="B847" s="2" t="s">
        <v>1875</v>
      </c>
      <c r="C847" s="2" t="s">
        <v>1880</v>
      </c>
      <c r="D847" s="2" t="s">
        <v>1881</v>
      </c>
      <c r="E847" s="6" t="s">
        <v>264</v>
      </c>
      <c r="F847" s="4" t="s">
        <v>17</v>
      </c>
      <c r="G847" s="2" t="s">
        <v>17</v>
      </c>
      <c r="H847" s="5" t="s">
        <v>18</v>
      </c>
      <c r="I847" s="2"/>
      <c r="J847" s="2"/>
      <c r="K847" s="2" t="s">
        <v>19</v>
      </c>
      <c r="L847" s="2"/>
    </row>
    <row r="848" spans="1:12" ht="52" x14ac:dyDescent="0.2">
      <c r="A848" s="2" t="s">
        <v>1819</v>
      </c>
      <c r="B848" s="2" t="s">
        <v>1875</v>
      </c>
      <c r="C848" s="2" t="s">
        <v>1882</v>
      </c>
      <c r="D848" s="2" t="s">
        <v>1883</v>
      </c>
      <c r="E848" s="6" t="s">
        <v>264</v>
      </c>
      <c r="F848" s="4" t="s">
        <v>17</v>
      </c>
      <c r="G848" s="2" t="s">
        <v>17</v>
      </c>
      <c r="H848" s="5" t="s">
        <v>18</v>
      </c>
      <c r="I848" s="2"/>
      <c r="J848" s="2"/>
      <c r="K848" s="2" t="s">
        <v>19</v>
      </c>
      <c r="L848" s="2"/>
    </row>
    <row r="849" spans="1:12" ht="52" x14ac:dyDescent="0.2">
      <c r="A849" s="2" t="s">
        <v>1819</v>
      </c>
      <c r="B849" s="2" t="s">
        <v>1875</v>
      </c>
      <c r="C849" s="2" t="s">
        <v>1884</v>
      </c>
      <c r="D849" s="2" t="s">
        <v>1885</v>
      </c>
      <c r="E849" s="6" t="s">
        <v>264</v>
      </c>
      <c r="F849" s="4" t="s">
        <v>17</v>
      </c>
      <c r="G849" s="2" t="s">
        <v>17</v>
      </c>
      <c r="H849" s="5" t="s">
        <v>18</v>
      </c>
      <c r="I849" s="2"/>
      <c r="J849" s="2"/>
      <c r="K849" s="2" t="s">
        <v>19</v>
      </c>
      <c r="L849" s="2"/>
    </row>
    <row r="850" spans="1:12" ht="52" x14ac:dyDescent="0.2">
      <c r="A850" s="2" t="s">
        <v>1819</v>
      </c>
      <c r="B850" s="2" t="s">
        <v>1875</v>
      </c>
      <c r="C850" s="2" t="s">
        <v>1886</v>
      </c>
      <c r="D850" s="2" t="s">
        <v>1887</v>
      </c>
      <c r="E850" s="6" t="s">
        <v>264</v>
      </c>
      <c r="F850" s="8" t="s">
        <v>317</v>
      </c>
      <c r="G850" s="2" t="s">
        <v>1888</v>
      </c>
      <c r="H850" s="5" t="s">
        <v>2395</v>
      </c>
      <c r="I850" s="2"/>
      <c r="J850" s="2"/>
      <c r="K850" s="2" t="s">
        <v>19</v>
      </c>
      <c r="L850" s="2"/>
    </row>
    <row r="851" spans="1:12" ht="26" x14ac:dyDescent="0.2">
      <c r="A851" s="2" t="s">
        <v>1819</v>
      </c>
      <c r="B851" s="2" t="s">
        <v>1875</v>
      </c>
      <c r="C851" s="2" t="s">
        <v>1889</v>
      </c>
      <c r="D851" s="28" t="s">
        <v>1890</v>
      </c>
      <c r="E851" s="6" t="s">
        <v>264</v>
      </c>
      <c r="F851" s="4" t="s">
        <v>17</v>
      </c>
      <c r="G851" s="2" t="s">
        <v>17</v>
      </c>
      <c r="H851" s="5" t="s">
        <v>2395</v>
      </c>
      <c r="I851" s="2"/>
      <c r="J851" s="2" t="s">
        <v>2457</v>
      </c>
      <c r="K851" s="2" t="s">
        <v>19</v>
      </c>
      <c r="L851" s="2"/>
    </row>
    <row r="852" spans="1:12" ht="65" x14ac:dyDescent="0.2">
      <c r="A852" s="2" t="s">
        <v>1819</v>
      </c>
      <c r="B852" s="2" t="s">
        <v>1875</v>
      </c>
      <c r="C852" s="2" t="s">
        <v>1891</v>
      </c>
      <c r="D852" s="28" t="s">
        <v>1892</v>
      </c>
      <c r="E852" s="6" t="s">
        <v>264</v>
      </c>
      <c r="F852" s="4" t="s">
        <v>17</v>
      </c>
      <c r="G852" s="2" t="s">
        <v>17</v>
      </c>
      <c r="H852" s="5" t="s">
        <v>2395</v>
      </c>
      <c r="I852" s="2"/>
      <c r="J852" s="2" t="s">
        <v>2457</v>
      </c>
      <c r="K852" s="2" t="s">
        <v>19</v>
      </c>
      <c r="L852" s="2"/>
    </row>
    <row r="853" spans="1:12" ht="26" x14ac:dyDescent="0.2">
      <c r="A853" s="2" t="s">
        <v>1819</v>
      </c>
      <c r="B853" s="2" t="s">
        <v>1893</v>
      </c>
      <c r="C853" s="2" t="s">
        <v>1894</v>
      </c>
      <c r="D853" s="2" t="s">
        <v>1895</v>
      </c>
      <c r="E853" s="6" t="s">
        <v>264</v>
      </c>
      <c r="F853" s="4" t="s">
        <v>17</v>
      </c>
      <c r="G853" s="2" t="s">
        <v>17</v>
      </c>
      <c r="H853" s="5" t="s">
        <v>18</v>
      </c>
      <c r="I853" s="2"/>
      <c r="J853" s="2"/>
      <c r="K853" s="2" t="s">
        <v>19</v>
      </c>
      <c r="L853" s="2"/>
    </row>
    <row r="854" spans="1:12" ht="26" x14ac:dyDescent="0.2">
      <c r="A854" s="2" t="s">
        <v>1819</v>
      </c>
      <c r="B854" s="2" t="s">
        <v>1893</v>
      </c>
      <c r="C854" s="2" t="s">
        <v>1896</v>
      </c>
      <c r="D854" s="2" t="s">
        <v>1897</v>
      </c>
      <c r="E854" s="6" t="s">
        <v>264</v>
      </c>
      <c r="F854" s="4" t="s">
        <v>17</v>
      </c>
      <c r="G854" s="2" t="s">
        <v>17</v>
      </c>
      <c r="H854" s="5" t="s">
        <v>18</v>
      </c>
      <c r="I854" s="2"/>
      <c r="J854" s="2"/>
      <c r="K854" s="2" t="s">
        <v>19</v>
      </c>
      <c r="L854" s="2"/>
    </row>
    <row r="855" spans="1:12" ht="26" x14ac:dyDescent="0.2">
      <c r="A855" s="2" t="s">
        <v>1819</v>
      </c>
      <c r="B855" s="2" t="s">
        <v>1893</v>
      </c>
      <c r="C855" s="2" t="s">
        <v>1898</v>
      </c>
      <c r="D855" s="2" t="s">
        <v>1899</v>
      </c>
      <c r="E855" s="6" t="s">
        <v>264</v>
      </c>
      <c r="F855" s="4" t="s">
        <v>17</v>
      </c>
      <c r="G855" s="2" t="s">
        <v>17</v>
      </c>
      <c r="H855" s="5" t="s">
        <v>18</v>
      </c>
      <c r="I855" s="2"/>
      <c r="J855" s="2"/>
      <c r="K855" s="2" t="s">
        <v>19</v>
      </c>
      <c r="L855" s="2"/>
    </row>
    <row r="856" spans="1:12" ht="26" x14ac:dyDescent="0.2">
      <c r="A856" s="2" t="s">
        <v>1819</v>
      </c>
      <c r="B856" s="2" t="s">
        <v>1893</v>
      </c>
      <c r="C856" s="2" t="s">
        <v>1900</v>
      </c>
      <c r="D856" s="2" t="s">
        <v>1901</v>
      </c>
      <c r="E856" s="6" t="s">
        <v>264</v>
      </c>
      <c r="F856" s="4" t="s">
        <v>17</v>
      </c>
      <c r="G856" s="2" t="s">
        <v>17</v>
      </c>
      <c r="H856" s="5" t="s">
        <v>18</v>
      </c>
      <c r="I856" s="2"/>
      <c r="J856" s="2"/>
      <c r="K856" s="2" t="s">
        <v>19</v>
      </c>
      <c r="L856" s="2"/>
    </row>
    <row r="857" spans="1:12" ht="26" x14ac:dyDescent="0.2">
      <c r="A857" s="2" t="s">
        <v>1819</v>
      </c>
      <c r="B857" s="2" t="s">
        <v>1893</v>
      </c>
      <c r="C857" s="2" t="s">
        <v>1902</v>
      </c>
      <c r="D857" s="2" t="s">
        <v>1903</v>
      </c>
      <c r="E857" s="6" t="s">
        <v>264</v>
      </c>
      <c r="F857" s="4" t="s">
        <v>17</v>
      </c>
      <c r="G857" s="2" t="s">
        <v>17</v>
      </c>
      <c r="H857" s="5" t="s">
        <v>18</v>
      </c>
      <c r="I857" s="2"/>
      <c r="J857" s="2"/>
      <c r="K857" s="2" t="s">
        <v>19</v>
      </c>
      <c r="L857" s="2"/>
    </row>
    <row r="858" spans="1:12" ht="26" x14ac:dyDescent="0.2">
      <c r="A858" s="2" t="s">
        <v>1819</v>
      </c>
      <c r="B858" s="2" t="s">
        <v>1893</v>
      </c>
      <c r="C858" s="2" t="s">
        <v>1904</v>
      </c>
      <c r="D858" s="2" t="s">
        <v>1905</v>
      </c>
      <c r="E858" s="6" t="s">
        <v>264</v>
      </c>
      <c r="F858" s="4" t="s">
        <v>17</v>
      </c>
      <c r="G858" s="2" t="s">
        <v>17</v>
      </c>
      <c r="H858" s="5" t="s">
        <v>18</v>
      </c>
      <c r="I858" s="2"/>
      <c r="J858" s="2"/>
      <c r="K858" s="2" t="s">
        <v>19</v>
      </c>
      <c r="L858" s="2"/>
    </row>
    <row r="859" spans="1:12" ht="26" x14ac:dyDescent="0.2">
      <c r="A859" s="2" t="s">
        <v>1819</v>
      </c>
      <c r="B859" s="2" t="s">
        <v>1893</v>
      </c>
      <c r="C859" s="2" t="s">
        <v>1906</v>
      </c>
      <c r="D859" s="2" t="s">
        <v>1907</v>
      </c>
      <c r="E859" s="6" t="s">
        <v>264</v>
      </c>
      <c r="F859" s="4" t="s">
        <v>17</v>
      </c>
      <c r="G859" s="2" t="s">
        <v>17</v>
      </c>
      <c r="H859" s="5" t="s">
        <v>18</v>
      </c>
      <c r="I859" s="2"/>
      <c r="J859" s="2"/>
      <c r="K859" s="2" t="s">
        <v>19</v>
      </c>
      <c r="L859" s="2"/>
    </row>
    <row r="860" spans="1:12" ht="26" x14ac:dyDescent="0.2">
      <c r="A860" s="2" t="s">
        <v>1819</v>
      </c>
      <c r="B860" s="2" t="s">
        <v>1893</v>
      </c>
      <c r="C860" s="2" t="s">
        <v>1908</v>
      </c>
      <c r="D860" s="2" t="s">
        <v>1909</v>
      </c>
      <c r="E860" s="6" t="s">
        <v>264</v>
      </c>
      <c r="F860" s="4" t="s">
        <v>17</v>
      </c>
      <c r="G860" s="2" t="s">
        <v>17</v>
      </c>
      <c r="H860" s="5" t="s">
        <v>18</v>
      </c>
      <c r="I860" s="2"/>
      <c r="J860" s="2"/>
      <c r="K860" s="2" t="s">
        <v>19</v>
      </c>
      <c r="L860" s="2"/>
    </row>
    <row r="861" spans="1:12" ht="39" x14ac:dyDescent="0.2">
      <c r="A861" s="2" t="s">
        <v>1819</v>
      </c>
      <c r="B861" s="2" t="s">
        <v>1893</v>
      </c>
      <c r="C861" s="2" t="s">
        <v>1910</v>
      </c>
      <c r="D861" s="2" t="s">
        <v>1911</v>
      </c>
      <c r="E861" s="6" t="s">
        <v>264</v>
      </c>
      <c r="F861" s="4" t="s">
        <v>17</v>
      </c>
      <c r="G861" s="2" t="s">
        <v>17</v>
      </c>
      <c r="H861" s="5" t="s">
        <v>18</v>
      </c>
      <c r="I861" s="2"/>
      <c r="J861" s="2"/>
      <c r="K861" s="2" t="s">
        <v>19</v>
      </c>
      <c r="L861" s="2"/>
    </row>
    <row r="862" spans="1:12" ht="39" x14ac:dyDescent="0.2">
      <c r="A862" s="2" t="s">
        <v>1819</v>
      </c>
      <c r="B862" s="2" t="s">
        <v>1893</v>
      </c>
      <c r="C862" s="2" t="s">
        <v>1912</v>
      </c>
      <c r="D862" s="2" t="s">
        <v>1913</v>
      </c>
      <c r="E862" s="6" t="s">
        <v>264</v>
      </c>
      <c r="F862" s="4" t="s">
        <v>17</v>
      </c>
      <c r="G862" s="2" t="s">
        <v>17</v>
      </c>
      <c r="H862" s="5" t="s">
        <v>18</v>
      </c>
      <c r="I862" s="2"/>
      <c r="J862" s="2"/>
      <c r="K862" s="2" t="s">
        <v>19</v>
      </c>
      <c r="L862" s="2"/>
    </row>
    <row r="863" spans="1:12" ht="39" x14ac:dyDescent="0.2">
      <c r="A863" s="2" t="s">
        <v>1819</v>
      </c>
      <c r="B863" s="2" t="s">
        <v>1914</v>
      </c>
      <c r="C863" s="2" t="s">
        <v>1915</v>
      </c>
      <c r="D863" s="2" t="s">
        <v>1916</v>
      </c>
      <c r="E863" s="6" t="s">
        <v>264</v>
      </c>
      <c r="F863" s="4" t="s">
        <v>17</v>
      </c>
      <c r="G863" s="2" t="s">
        <v>17</v>
      </c>
      <c r="H863" s="5" t="s">
        <v>18</v>
      </c>
      <c r="I863" s="2"/>
      <c r="J863" s="2"/>
      <c r="K863" s="2" t="s">
        <v>19</v>
      </c>
      <c r="L863" s="2"/>
    </row>
    <row r="864" spans="1:12" ht="52" x14ac:dyDescent="0.2">
      <c r="A864" s="2" t="s">
        <v>1819</v>
      </c>
      <c r="B864" s="2" t="s">
        <v>1914</v>
      </c>
      <c r="C864" s="2" t="s">
        <v>1917</v>
      </c>
      <c r="D864" s="2" t="s">
        <v>1918</v>
      </c>
      <c r="E864" s="6" t="s">
        <v>264</v>
      </c>
      <c r="F864" s="4" t="s">
        <v>17</v>
      </c>
      <c r="G864" s="2" t="s">
        <v>17</v>
      </c>
      <c r="H864" s="5" t="s">
        <v>18</v>
      </c>
      <c r="I864" s="2"/>
      <c r="J864" s="2"/>
      <c r="K864" s="2" t="s">
        <v>19</v>
      </c>
      <c r="L864" s="2"/>
    </row>
    <row r="865" spans="1:12" ht="52" x14ac:dyDescent="0.2">
      <c r="A865" s="2" t="s">
        <v>1819</v>
      </c>
      <c r="B865" s="2" t="s">
        <v>1914</v>
      </c>
      <c r="C865" s="2" t="s">
        <v>1919</v>
      </c>
      <c r="D865" s="2" t="s">
        <v>1920</v>
      </c>
      <c r="E865" s="6" t="s">
        <v>264</v>
      </c>
      <c r="F865" s="4" t="s">
        <v>17</v>
      </c>
      <c r="G865" s="2" t="s">
        <v>17</v>
      </c>
      <c r="H865" s="5" t="s">
        <v>18</v>
      </c>
      <c r="I865" s="2"/>
      <c r="J865" s="2"/>
      <c r="K865" s="2" t="s">
        <v>19</v>
      </c>
      <c r="L865" s="2"/>
    </row>
    <row r="866" spans="1:12" ht="39" x14ac:dyDescent="0.2">
      <c r="A866" s="2" t="s">
        <v>1819</v>
      </c>
      <c r="B866" s="2" t="s">
        <v>1914</v>
      </c>
      <c r="C866" s="2" t="s">
        <v>1921</v>
      </c>
      <c r="D866" s="2" t="s">
        <v>1922</v>
      </c>
      <c r="E866" s="6" t="s">
        <v>264</v>
      </c>
      <c r="F866" s="4" t="s">
        <v>17</v>
      </c>
      <c r="G866" s="2" t="s">
        <v>17</v>
      </c>
      <c r="H866" s="5" t="s">
        <v>18</v>
      </c>
      <c r="I866" s="2"/>
      <c r="J866" s="2"/>
      <c r="K866" s="2" t="s">
        <v>19</v>
      </c>
      <c r="L866" s="2"/>
    </row>
    <row r="867" spans="1:12" ht="39" x14ac:dyDescent="0.2">
      <c r="A867" s="2" t="s">
        <v>1819</v>
      </c>
      <c r="B867" s="2" t="s">
        <v>1914</v>
      </c>
      <c r="C867" s="2" t="s">
        <v>1923</v>
      </c>
      <c r="D867" s="2" t="s">
        <v>1924</v>
      </c>
      <c r="E867" s="6" t="s">
        <v>264</v>
      </c>
      <c r="F867" s="4" t="s">
        <v>17</v>
      </c>
      <c r="G867" s="2" t="s">
        <v>17</v>
      </c>
      <c r="H867" s="5" t="s">
        <v>18</v>
      </c>
      <c r="I867" s="2"/>
      <c r="J867" s="2"/>
      <c r="K867" s="2" t="s">
        <v>19</v>
      </c>
      <c r="L867" s="2"/>
    </row>
    <row r="868" spans="1:12" ht="52" x14ac:dyDescent="0.2">
      <c r="A868" s="2" t="s">
        <v>1819</v>
      </c>
      <c r="B868" s="2" t="s">
        <v>1914</v>
      </c>
      <c r="C868" s="2" t="s">
        <v>1925</v>
      </c>
      <c r="D868" s="2" t="s">
        <v>1926</v>
      </c>
      <c r="E868" s="6" t="s">
        <v>264</v>
      </c>
      <c r="F868" s="4" t="s">
        <v>17</v>
      </c>
      <c r="G868" s="2" t="s">
        <v>17</v>
      </c>
      <c r="H868" s="5" t="s">
        <v>18</v>
      </c>
      <c r="I868" s="2"/>
      <c r="J868" s="2"/>
      <c r="K868" s="2" t="s">
        <v>19</v>
      </c>
      <c r="L868" s="2"/>
    </row>
    <row r="869" spans="1:12" ht="52" x14ac:dyDescent="0.2">
      <c r="A869" s="2" t="s">
        <v>1819</v>
      </c>
      <c r="B869" s="2" t="s">
        <v>1914</v>
      </c>
      <c r="C869" s="2" t="s">
        <v>1927</v>
      </c>
      <c r="D869" s="2" t="s">
        <v>1928</v>
      </c>
      <c r="E869" s="6" t="s">
        <v>264</v>
      </c>
      <c r="F869" s="4" t="s">
        <v>17</v>
      </c>
      <c r="G869" s="2" t="s">
        <v>17</v>
      </c>
      <c r="H869" s="5" t="s">
        <v>18</v>
      </c>
      <c r="I869" s="2"/>
      <c r="J869" s="2"/>
      <c r="K869" s="2" t="s">
        <v>19</v>
      </c>
      <c r="L869" s="2"/>
    </row>
    <row r="870" spans="1:12" ht="39" x14ac:dyDescent="0.2">
      <c r="A870" s="2" t="s">
        <v>1819</v>
      </c>
      <c r="B870" s="2" t="s">
        <v>1914</v>
      </c>
      <c r="C870" s="2" t="s">
        <v>1929</v>
      </c>
      <c r="D870" s="2" t="s">
        <v>1930</v>
      </c>
      <c r="E870" s="6" t="s">
        <v>264</v>
      </c>
      <c r="F870" s="4" t="s">
        <v>17</v>
      </c>
      <c r="G870" s="2" t="s">
        <v>17</v>
      </c>
      <c r="H870" s="5" t="s">
        <v>18</v>
      </c>
      <c r="I870" s="2"/>
      <c r="J870" s="2"/>
      <c r="K870" s="2" t="s">
        <v>19</v>
      </c>
      <c r="L870" s="2"/>
    </row>
    <row r="871" spans="1:12" ht="52" x14ac:dyDescent="0.2">
      <c r="A871" s="2" t="s">
        <v>1819</v>
      </c>
      <c r="B871" s="2" t="s">
        <v>1931</v>
      </c>
      <c r="C871" s="2" t="s">
        <v>1932</v>
      </c>
      <c r="D871" s="2" t="s">
        <v>1933</v>
      </c>
      <c r="E871" s="6" t="s">
        <v>264</v>
      </c>
      <c r="F871" s="4" t="s">
        <v>17</v>
      </c>
      <c r="G871" s="2" t="s">
        <v>17</v>
      </c>
      <c r="H871" s="5" t="s">
        <v>18</v>
      </c>
      <c r="I871" s="2"/>
      <c r="J871" s="2"/>
      <c r="K871" s="2" t="s">
        <v>19</v>
      </c>
      <c r="L871" s="2"/>
    </row>
    <row r="872" spans="1:12" ht="65" x14ac:dyDescent="0.2">
      <c r="A872" s="2" t="s">
        <v>1819</v>
      </c>
      <c r="B872" s="2" t="s">
        <v>1931</v>
      </c>
      <c r="C872" s="2" t="s">
        <v>1934</v>
      </c>
      <c r="D872" s="28" t="s">
        <v>1935</v>
      </c>
      <c r="E872" s="6" t="s">
        <v>16</v>
      </c>
      <c r="F872" s="7" t="s">
        <v>272</v>
      </c>
      <c r="G872" s="2" t="s">
        <v>1936</v>
      </c>
      <c r="H872" s="5" t="s">
        <v>2398</v>
      </c>
      <c r="I872" s="28" t="s">
        <v>2466</v>
      </c>
      <c r="J872" s="2"/>
      <c r="K872" s="2" t="s">
        <v>19</v>
      </c>
      <c r="L872" s="2"/>
    </row>
    <row r="873" spans="1:12" ht="39" x14ac:dyDescent="0.2">
      <c r="A873" s="2" t="s">
        <v>1819</v>
      </c>
      <c r="B873" s="2" t="s">
        <v>1931</v>
      </c>
      <c r="C873" s="2" t="s">
        <v>1937</v>
      </c>
      <c r="D873" s="2" t="s">
        <v>1938</v>
      </c>
      <c r="E873" s="6" t="s">
        <v>264</v>
      </c>
      <c r="F873" s="4" t="s">
        <v>17</v>
      </c>
      <c r="G873" s="2" t="s">
        <v>17</v>
      </c>
      <c r="H873" s="5" t="s">
        <v>18</v>
      </c>
      <c r="I873" s="2"/>
      <c r="J873" s="2"/>
      <c r="K873" s="2" t="s">
        <v>19</v>
      </c>
      <c r="L873" s="2"/>
    </row>
    <row r="874" spans="1:12" ht="39" x14ac:dyDescent="0.2">
      <c r="A874" s="2" t="s">
        <v>1819</v>
      </c>
      <c r="B874" s="2" t="s">
        <v>1931</v>
      </c>
      <c r="C874" s="2" t="s">
        <v>1939</v>
      </c>
      <c r="D874" s="2" t="s">
        <v>1940</v>
      </c>
      <c r="E874" s="6" t="s">
        <v>264</v>
      </c>
      <c r="F874" s="4" t="s">
        <v>17</v>
      </c>
      <c r="G874" s="2" t="s">
        <v>17</v>
      </c>
      <c r="H874" s="5" t="s">
        <v>18</v>
      </c>
      <c r="I874" s="2"/>
      <c r="J874" s="2"/>
      <c r="K874" s="2" t="s">
        <v>19</v>
      </c>
      <c r="L874" s="2"/>
    </row>
    <row r="875" spans="1:12" ht="39" x14ac:dyDescent="0.2">
      <c r="A875" s="2" t="s">
        <v>1819</v>
      </c>
      <c r="B875" s="2" t="s">
        <v>1931</v>
      </c>
      <c r="C875" s="2" t="s">
        <v>1941</v>
      </c>
      <c r="D875" s="2" t="s">
        <v>1942</v>
      </c>
      <c r="E875" s="6" t="s">
        <v>264</v>
      </c>
      <c r="F875" s="4" t="s">
        <v>17</v>
      </c>
      <c r="G875" s="2" t="s">
        <v>17</v>
      </c>
      <c r="H875" s="5" t="s">
        <v>18</v>
      </c>
      <c r="I875" s="2"/>
      <c r="J875" s="2"/>
      <c r="K875" s="2" t="s">
        <v>19</v>
      </c>
      <c r="L875" s="2"/>
    </row>
    <row r="876" spans="1:12" ht="39" x14ac:dyDescent="0.2">
      <c r="A876" s="2" t="s">
        <v>1819</v>
      </c>
      <c r="B876" s="2" t="s">
        <v>1931</v>
      </c>
      <c r="C876" s="2" t="s">
        <v>1943</v>
      </c>
      <c r="D876" s="2" t="s">
        <v>1944</v>
      </c>
      <c r="E876" s="6" t="s">
        <v>264</v>
      </c>
      <c r="F876" s="4" t="s">
        <v>17</v>
      </c>
      <c r="G876" s="2" t="s">
        <v>17</v>
      </c>
      <c r="H876" s="5" t="s">
        <v>18</v>
      </c>
      <c r="I876" s="2"/>
      <c r="J876" s="2"/>
      <c r="K876" s="2" t="s">
        <v>19</v>
      </c>
      <c r="L876" s="2"/>
    </row>
    <row r="877" spans="1:12" ht="39" x14ac:dyDescent="0.2">
      <c r="A877" s="2" t="s">
        <v>1819</v>
      </c>
      <c r="B877" s="2" t="s">
        <v>1931</v>
      </c>
      <c r="C877" s="2" t="s">
        <v>1945</v>
      </c>
      <c r="D877" s="2" t="s">
        <v>1946</v>
      </c>
      <c r="E877" s="6" t="s">
        <v>264</v>
      </c>
      <c r="F877" s="4" t="s">
        <v>17</v>
      </c>
      <c r="G877" s="2" t="s">
        <v>17</v>
      </c>
      <c r="H877" s="5" t="s">
        <v>18</v>
      </c>
      <c r="I877" s="2"/>
      <c r="J877" s="2"/>
      <c r="K877" s="2" t="s">
        <v>19</v>
      </c>
      <c r="L877" s="2"/>
    </row>
    <row r="878" spans="1:12" ht="52" x14ac:dyDescent="0.2">
      <c r="A878" s="2" t="s">
        <v>1819</v>
      </c>
      <c r="B878" s="2" t="s">
        <v>1931</v>
      </c>
      <c r="C878" s="2" t="s">
        <v>1947</v>
      </c>
      <c r="D878" s="2" t="s">
        <v>1948</v>
      </c>
      <c r="E878" s="6" t="s">
        <v>264</v>
      </c>
      <c r="F878" s="4" t="s">
        <v>17</v>
      </c>
      <c r="G878" s="2" t="s">
        <v>17</v>
      </c>
      <c r="H878" s="5" t="s">
        <v>18</v>
      </c>
      <c r="I878" s="2"/>
      <c r="J878" s="2"/>
      <c r="K878" s="2" t="s">
        <v>19</v>
      </c>
      <c r="L878" s="2"/>
    </row>
    <row r="879" spans="1:12" ht="26" x14ac:dyDescent="0.2">
      <c r="A879" s="2" t="s">
        <v>1819</v>
      </c>
      <c r="B879" s="2" t="s">
        <v>1949</v>
      </c>
      <c r="C879" s="2" t="s">
        <v>1950</v>
      </c>
      <c r="D879" s="2" t="s">
        <v>1951</v>
      </c>
      <c r="E879" s="6" t="s">
        <v>264</v>
      </c>
      <c r="F879" s="4" t="s">
        <v>17</v>
      </c>
      <c r="G879" s="2" t="s">
        <v>17</v>
      </c>
      <c r="H879" s="5" t="s">
        <v>18</v>
      </c>
      <c r="I879" s="2"/>
      <c r="J879" s="2"/>
      <c r="K879" s="2" t="s">
        <v>19</v>
      </c>
      <c r="L879" s="2"/>
    </row>
    <row r="880" spans="1:12" ht="39" x14ac:dyDescent="0.2">
      <c r="A880" s="2" t="s">
        <v>1819</v>
      </c>
      <c r="B880" s="2" t="s">
        <v>1949</v>
      </c>
      <c r="C880" s="2" t="s">
        <v>1952</v>
      </c>
      <c r="D880" s="2" t="s">
        <v>1953</v>
      </c>
      <c r="E880" s="6" t="s">
        <v>264</v>
      </c>
      <c r="F880" s="4" t="s">
        <v>17</v>
      </c>
      <c r="G880" s="2" t="s">
        <v>17</v>
      </c>
      <c r="H880" s="5" t="s">
        <v>18</v>
      </c>
      <c r="I880" s="2"/>
      <c r="J880" s="2"/>
      <c r="K880" s="2" t="s">
        <v>19</v>
      </c>
      <c r="L880" s="2"/>
    </row>
    <row r="881" spans="1:12" ht="26" x14ac:dyDescent="0.2">
      <c r="A881" s="2" t="s">
        <v>1819</v>
      </c>
      <c r="B881" s="2" t="s">
        <v>1949</v>
      </c>
      <c r="C881" s="2" t="s">
        <v>1954</v>
      </c>
      <c r="D881" s="2" t="s">
        <v>1955</v>
      </c>
      <c r="E881" s="6" t="s">
        <v>264</v>
      </c>
      <c r="F881" s="4" t="s">
        <v>17</v>
      </c>
      <c r="G881" s="2" t="s">
        <v>17</v>
      </c>
      <c r="H881" s="5" t="s">
        <v>18</v>
      </c>
      <c r="I881" s="2"/>
      <c r="J881" s="2"/>
      <c r="K881" s="2" t="s">
        <v>19</v>
      </c>
      <c r="L881" s="2"/>
    </row>
    <row r="882" spans="1:12" ht="39" x14ac:dyDescent="0.2">
      <c r="A882" s="2" t="s">
        <v>1819</v>
      </c>
      <c r="B882" s="2" t="s">
        <v>1949</v>
      </c>
      <c r="C882" s="2" t="s">
        <v>1956</v>
      </c>
      <c r="D882" s="2" t="s">
        <v>1957</v>
      </c>
      <c r="E882" s="6" t="s">
        <v>264</v>
      </c>
      <c r="F882" s="4" t="s">
        <v>17</v>
      </c>
      <c r="G882" s="2" t="s">
        <v>17</v>
      </c>
      <c r="H882" s="5" t="s">
        <v>18</v>
      </c>
      <c r="I882" s="2"/>
      <c r="J882" s="2"/>
      <c r="K882" s="2" t="s">
        <v>19</v>
      </c>
      <c r="L882" s="2"/>
    </row>
    <row r="883" spans="1:12" ht="52" x14ac:dyDescent="0.2">
      <c r="A883" s="2" t="s">
        <v>1819</v>
      </c>
      <c r="B883" s="2" t="s">
        <v>1949</v>
      </c>
      <c r="C883" s="2" t="s">
        <v>1958</v>
      </c>
      <c r="D883" s="2" t="s">
        <v>1959</v>
      </c>
      <c r="E883" s="6" t="s">
        <v>264</v>
      </c>
      <c r="F883" s="4" t="s">
        <v>17</v>
      </c>
      <c r="G883" s="2" t="s">
        <v>17</v>
      </c>
      <c r="H883" s="5" t="s">
        <v>18</v>
      </c>
      <c r="I883" s="2"/>
      <c r="J883" s="2"/>
      <c r="K883" s="2" t="s">
        <v>19</v>
      </c>
      <c r="L883" s="2"/>
    </row>
    <row r="884" spans="1:12" ht="52" x14ac:dyDescent="0.2">
      <c r="A884" s="2" t="s">
        <v>1819</v>
      </c>
      <c r="B884" s="2" t="s">
        <v>1949</v>
      </c>
      <c r="C884" s="2" t="s">
        <v>1960</v>
      </c>
      <c r="D884" s="2" t="s">
        <v>1961</v>
      </c>
      <c r="E884" s="6" t="s">
        <v>264</v>
      </c>
      <c r="F884" s="4" t="s">
        <v>17</v>
      </c>
      <c r="G884" s="2" t="s">
        <v>17</v>
      </c>
      <c r="H884" s="5" t="s">
        <v>18</v>
      </c>
      <c r="I884" s="2"/>
      <c r="J884" s="2"/>
      <c r="K884" s="2" t="s">
        <v>19</v>
      </c>
      <c r="L884" s="2"/>
    </row>
    <row r="885" spans="1:12" ht="39" x14ac:dyDescent="0.2">
      <c r="A885" s="2" t="s">
        <v>1819</v>
      </c>
      <c r="B885" s="2" t="s">
        <v>1949</v>
      </c>
      <c r="C885" s="2" t="s">
        <v>1962</v>
      </c>
      <c r="D885" s="2" t="s">
        <v>1963</v>
      </c>
      <c r="E885" s="6" t="s">
        <v>264</v>
      </c>
      <c r="F885" s="4" t="s">
        <v>17</v>
      </c>
      <c r="G885" s="2" t="s">
        <v>17</v>
      </c>
      <c r="H885" s="5" t="s">
        <v>18</v>
      </c>
      <c r="I885" s="2"/>
      <c r="J885" s="2"/>
      <c r="K885" s="2" t="s">
        <v>19</v>
      </c>
      <c r="L885" s="2"/>
    </row>
    <row r="886" spans="1:12" ht="78" x14ac:dyDescent="0.2">
      <c r="A886" s="2" t="s">
        <v>1819</v>
      </c>
      <c r="B886" s="2" t="s">
        <v>1949</v>
      </c>
      <c r="C886" s="2" t="s">
        <v>1964</v>
      </c>
      <c r="D886" s="28" t="s">
        <v>1965</v>
      </c>
      <c r="E886" s="6" t="s">
        <v>16</v>
      </c>
      <c r="F886" s="7" t="s">
        <v>272</v>
      </c>
      <c r="G886" s="2" t="s">
        <v>1936</v>
      </c>
      <c r="H886" s="5" t="s">
        <v>2398</v>
      </c>
      <c r="I886" s="28" t="s">
        <v>2459</v>
      </c>
      <c r="J886" s="2" t="s">
        <v>2458</v>
      </c>
      <c r="K886" s="2" t="s">
        <v>19</v>
      </c>
      <c r="L886" s="2"/>
    </row>
    <row r="887" spans="1:12" ht="52" x14ac:dyDescent="0.2">
      <c r="A887" s="2" t="s">
        <v>1819</v>
      </c>
      <c r="B887" s="2" t="s">
        <v>1966</v>
      </c>
      <c r="C887" s="2" t="s">
        <v>1967</v>
      </c>
      <c r="D887" s="2" t="s">
        <v>1968</v>
      </c>
      <c r="E887" s="6" t="s">
        <v>264</v>
      </c>
      <c r="F887" s="4" t="s">
        <v>17</v>
      </c>
      <c r="G887" s="2" t="s">
        <v>17</v>
      </c>
      <c r="H887" s="5" t="s">
        <v>18</v>
      </c>
      <c r="I887" s="2"/>
      <c r="J887" s="2"/>
      <c r="K887" s="2" t="s">
        <v>19</v>
      </c>
      <c r="L887" s="2"/>
    </row>
    <row r="888" spans="1:12" ht="91" x14ac:dyDescent="0.2">
      <c r="A888" s="2" t="s">
        <v>1819</v>
      </c>
      <c r="B888" s="2" t="s">
        <v>1966</v>
      </c>
      <c r="C888" s="2" t="s">
        <v>1969</v>
      </c>
      <c r="D888" s="28" t="s">
        <v>1970</v>
      </c>
      <c r="E888" s="6" t="s">
        <v>16</v>
      </c>
      <c r="F888" s="4" t="s">
        <v>17</v>
      </c>
      <c r="G888" s="2" t="s">
        <v>17</v>
      </c>
      <c r="H888" s="5" t="s">
        <v>2398</v>
      </c>
      <c r="I888" s="28" t="s">
        <v>2467</v>
      </c>
      <c r="J888" s="2" t="s">
        <v>2458</v>
      </c>
      <c r="K888" s="2" t="s">
        <v>19</v>
      </c>
      <c r="L888" s="2"/>
    </row>
    <row r="889" spans="1:12" ht="39" x14ac:dyDescent="0.2">
      <c r="A889" s="2" t="s">
        <v>1819</v>
      </c>
      <c r="B889" s="2" t="s">
        <v>1966</v>
      </c>
      <c r="C889" s="2" t="s">
        <v>1971</v>
      </c>
      <c r="D889" s="2" t="s">
        <v>1972</v>
      </c>
      <c r="E889" s="6" t="s">
        <v>264</v>
      </c>
      <c r="F889" s="4" t="s">
        <v>17</v>
      </c>
      <c r="G889" s="2" t="s">
        <v>17</v>
      </c>
      <c r="H889" s="5" t="s">
        <v>18</v>
      </c>
      <c r="I889" s="2"/>
      <c r="J889" s="2"/>
      <c r="K889" s="2" t="s">
        <v>19</v>
      </c>
      <c r="L889" s="2"/>
    </row>
    <row r="890" spans="1:12" ht="52" x14ac:dyDescent="0.2">
      <c r="A890" s="2" t="s">
        <v>1819</v>
      </c>
      <c r="B890" s="2" t="s">
        <v>1966</v>
      </c>
      <c r="C890" s="2" t="s">
        <v>1973</v>
      </c>
      <c r="D890" s="2" t="s">
        <v>1974</v>
      </c>
      <c r="E890" s="6" t="s">
        <v>264</v>
      </c>
      <c r="F890" s="4" t="s">
        <v>17</v>
      </c>
      <c r="G890" s="2" t="s">
        <v>17</v>
      </c>
      <c r="H890" s="5" t="s">
        <v>18</v>
      </c>
      <c r="I890" s="2"/>
      <c r="J890" s="2"/>
      <c r="K890" s="2" t="s">
        <v>19</v>
      </c>
      <c r="L890" s="2"/>
    </row>
    <row r="891" spans="1:12" ht="52" x14ac:dyDescent="0.2">
      <c r="A891" s="2" t="s">
        <v>1819</v>
      </c>
      <c r="B891" s="2" t="s">
        <v>1966</v>
      </c>
      <c r="C891" s="2" t="s">
        <v>1975</v>
      </c>
      <c r="D891" s="2" t="s">
        <v>1976</v>
      </c>
      <c r="E891" s="6" t="s">
        <v>264</v>
      </c>
      <c r="F891" s="4" t="s">
        <v>17</v>
      </c>
      <c r="G891" s="2" t="s">
        <v>17</v>
      </c>
      <c r="H891" s="5" t="s">
        <v>18</v>
      </c>
      <c r="I891" s="2"/>
      <c r="J891" s="2"/>
      <c r="K891" s="2" t="s">
        <v>19</v>
      </c>
      <c r="L891" s="2"/>
    </row>
    <row r="892" spans="1:12" ht="39" x14ac:dyDescent="0.2">
      <c r="A892" s="2" t="s">
        <v>1819</v>
      </c>
      <c r="B892" s="2" t="s">
        <v>1966</v>
      </c>
      <c r="C892" s="2" t="s">
        <v>1977</v>
      </c>
      <c r="D892" s="2" t="s">
        <v>1978</v>
      </c>
      <c r="E892" s="6" t="s">
        <v>264</v>
      </c>
      <c r="F892" s="4" t="s">
        <v>17</v>
      </c>
      <c r="G892" s="2" t="s">
        <v>17</v>
      </c>
      <c r="H892" s="5" t="s">
        <v>18</v>
      </c>
      <c r="I892" s="2"/>
      <c r="J892" s="2"/>
      <c r="K892" s="2" t="s">
        <v>19</v>
      </c>
      <c r="L892" s="2"/>
    </row>
    <row r="893" spans="1:12" ht="52" x14ac:dyDescent="0.2">
      <c r="A893" s="2" t="s">
        <v>1819</v>
      </c>
      <c r="B893" s="2" t="s">
        <v>1966</v>
      </c>
      <c r="C893" s="2" t="s">
        <v>1979</v>
      </c>
      <c r="D893" s="2" t="s">
        <v>1980</v>
      </c>
      <c r="E893" s="6" t="s">
        <v>264</v>
      </c>
      <c r="F893" s="4" t="s">
        <v>17</v>
      </c>
      <c r="G893" s="2" t="s">
        <v>17</v>
      </c>
      <c r="H893" s="5" t="s">
        <v>18</v>
      </c>
      <c r="I893" s="2"/>
      <c r="J893" s="2"/>
      <c r="K893" s="2" t="s">
        <v>19</v>
      </c>
      <c r="L893" s="2"/>
    </row>
    <row r="894" spans="1:12" ht="52" x14ac:dyDescent="0.2">
      <c r="A894" s="2" t="s">
        <v>1819</v>
      </c>
      <c r="B894" s="2" t="s">
        <v>1966</v>
      </c>
      <c r="C894" s="2" t="s">
        <v>1981</v>
      </c>
      <c r="D894" s="2" t="s">
        <v>1982</v>
      </c>
      <c r="E894" s="6" t="s">
        <v>264</v>
      </c>
      <c r="F894" s="4" t="s">
        <v>17</v>
      </c>
      <c r="G894" s="2" t="s">
        <v>17</v>
      </c>
      <c r="H894" s="5" t="s">
        <v>18</v>
      </c>
      <c r="I894" s="2"/>
      <c r="J894" s="2"/>
      <c r="K894" s="2" t="s">
        <v>19</v>
      </c>
      <c r="L894" s="2"/>
    </row>
    <row r="895" spans="1:12" ht="39" x14ac:dyDescent="0.2">
      <c r="A895" s="2" t="s">
        <v>1819</v>
      </c>
      <c r="B895" s="2" t="s">
        <v>1966</v>
      </c>
      <c r="C895" s="2" t="s">
        <v>1983</v>
      </c>
      <c r="D895" s="2" t="s">
        <v>1984</v>
      </c>
      <c r="E895" s="6" t="s">
        <v>264</v>
      </c>
      <c r="F895" s="4" t="s">
        <v>17</v>
      </c>
      <c r="G895" s="2" t="s">
        <v>17</v>
      </c>
      <c r="H895" s="5" t="s">
        <v>18</v>
      </c>
      <c r="I895" s="2"/>
      <c r="J895" s="2"/>
      <c r="K895" s="2" t="s">
        <v>19</v>
      </c>
      <c r="L895" s="2"/>
    </row>
    <row r="896" spans="1:12" ht="39" x14ac:dyDescent="0.2">
      <c r="A896" s="2" t="s">
        <v>1819</v>
      </c>
      <c r="B896" s="2" t="s">
        <v>1966</v>
      </c>
      <c r="C896" s="2" t="s">
        <v>1985</v>
      </c>
      <c r="D896" s="2" t="s">
        <v>1986</v>
      </c>
      <c r="E896" s="6" t="s">
        <v>264</v>
      </c>
      <c r="F896" s="4" t="s">
        <v>17</v>
      </c>
      <c r="G896" s="2" t="s">
        <v>17</v>
      </c>
      <c r="H896" s="5" t="s">
        <v>18</v>
      </c>
      <c r="I896" s="2"/>
      <c r="J896" s="2"/>
      <c r="K896" s="2" t="s">
        <v>19</v>
      </c>
      <c r="L896" s="2"/>
    </row>
    <row r="897" spans="1:12" ht="39" x14ac:dyDescent="0.2">
      <c r="A897" s="2" t="s">
        <v>1819</v>
      </c>
      <c r="B897" s="2" t="s">
        <v>1966</v>
      </c>
      <c r="C897" s="2" t="s">
        <v>1987</v>
      </c>
      <c r="D897" s="2" t="s">
        <v>1988</v>
      </c>
      <c r="E897" s="6" t="s">
        <v>264</v>
      </c>
      <c r="F897" s="4" t="s">
        <v>17</v>
      </c>
      <c r="G897" s="2" t="s">
        <v>17</v>
      </c>
      <c r="H897" s="5" t="s">
        <v>18</v>
      </c>
      <c r="I897" s="2"/>
      <c r="J897" s="2"/>
      <c r="K897" s="2" t="s">
        <v>19</v>
      </c>
      <c r="L897" s="2"/>
    </row>
    <row r="898" spans="1:12" ht="26" x14ac:dyDescent="0.2">
      <c r="A898" s="2" t="s">
        <v>1819</v>
      </c>
      <c r="B898" s="2" t="s">
        <v>1966</v>
      </c>
      <c r="C898" s="2" t="s">
        <v>1989</v>
      </c>
      <c r="D898" s="2" t="s">
        <v>1990</v>
      </c>
      <c r="E898" s="6" t="s">
        <v>264</v>
      </c>
      <c r="F898" s="4" t="s">
        <v>17</v>
      </c>
      <c r="G898" s="2" t="s">
        <v>17</v>
      </c>
      <c r="H898" s="5" t="s">
        <v>18</v>
      </c>
      <c r="I898" s="2"/>
      <c r="J898" s="2"/>
      <c r="K898" s="2" t="s">
        <v>19</v>
      </c>
      <c r="L898" s="2"/>
    </row>
    <row r="899" spans="1:12" ht="26" x14ac:dyDescent="0.2">
      <c r="A899" s="2" t="s">
        <v>1819</v>
      </c>
      <c r="B899" s="2" t="s">
        <v>1991</v>
      </c>
      <c r="C899" s="2" t="s">
        <v>1992</v>
      </c>
      <c r="D899" s="2" t="s">
        <v>1993</v>
      </c>
      <c r="E899" s="6" t="s">
        <v>264</v>
      </c>
      <c r="F899" s="4" t="s">
        <v>17</v>
      </c>
      <c r="G899" s="2" t="s">
        <v>17</v>
      </c>
      <c r="H899" s="5" t="s">
        <v>18</v>
      </c>
      <c r="I899" s="2"/>
      <c r="J899" s="2"/>
      <c r="K899" s="2" t="s">
        <v>19</v>
      </c>
      <c r="L899" s="2"/>
    </row>
    <row r="900" spans="1:12" ht="39" x14ac:dyDescent="0.2">
      <c r="A900" s="2" t="s">
        <v>1819</v>
      </c>
      <c r="B900" s="2" t="s">
        <v>1991</v>
      </c>
      <c r="C900" s="2" t="s">
        <v>1994</v>
      </c>
      <c r="D900" s="2" t="s">
        <v>1995</v>
      </c>
      <c r="E900" s="6" t="s">
        <v>264</v>
      </c>
      <c r="F900" s="4" t="s">
        <v>17</v>
      </c>
      <c r="G900" s="2" t="s">
        <v>17</v>
      </c>
      <c r="H900" s="5" t="s">
        <v>18</v>
      </c>
      <c r="I900" s="2"/>
      <c r="J900" s="2"/>
      <c r="K900" s="2" t="s">
        <v>19</v>
      </c>
      <c r="L900" s="2"/>
    </row>
    <row r="901" spans="1:12" ht="52" x14ac:dyDescent="0.2">
      <c r="A901" s="2" t="s">
        <v>1819</v>
      </c>
      <c r="B901" s="2" t="s">
        <v>1991</v>
      </c>
      <c r="C901" s="2" t="s">
        <v>1996</v>
      </c>
      <c r="D901" s="2" t="s">
        <v>1997</v>
      </c>
      <c r="E901" s="6" t="s">
        <v>264</v>
      </c>
      <c r="F901" s="4" t="s">
        <v>17</v>
      </c>
      <c r="G901" s="2" t="s">
        <v>17</v>
      </c>
      <c r="H901" s="5" t="s">
        <v>18</v>
      </c>
      <c r="I901" s="2"/>
      <c r="J901" s="2"/>
      <c r="K901" s="2" t="s">
        <v>19</v>
      </c>
      <c r="L901" s="2"/>
    </row>
    <row r="902" spans="1:12" ht="104" x14ac:dyDescent="0.2">
      <c r="A902" s="2" t="s">
        <v>1819</v>
      </c>
      <c r="B902" s="2" t="s">
        <v>1991</v>
      </c>
      <c r="C902" s="2" t="s">
        <v>1998</v>
      </c>
      <c r="D902" s="28" t="s">
        <v>1999</v>
      </c>
      <c r="E902" s="6" t="s">
        <v>16</v>
      </c>
      <c r="F902" s="4" t="s">
        <v>17</v>
      </c>
      <c r="G902" s="2" t="s">
        <v>17</v>
      </c>
      <c r="H902" s="5" t="s">
        <v>2398</v>
      </c>
      <c r="I902" s="2" t="s">
        <v>2468</v>
      </c>
      <c r="J902" s="2" t="s">
        <v>2460</v>
      </c>
      <c r="K902" s="2" t="s">
        <v>19</v>
      </c>
      <c r="L902" s="2"/>
    </row>
    <row r="903" spans="1:12" ht="39" x14ac:dyDescent="0.2">
      <c r="A903" s="2" t="s">
        <v>1819</v>
      </c>
      <c r="B903" s="2" t="s">
        <v>1991</v>
      </c>
      <c r="C903" s="2" t="s">
        <v>2000</v>
      </c>
      <c r="D903" s="2" t="s">
        <v>2001</v>
      </c>
      <c r="E903" s="6" t="s">
        <v>264</v>
      </c>
      <c r="F903" s="4" t="s">
        <v>17</v>
      </c>
      <c r="G903" s="2" t="s">
        <v>17</v>
      </c>
      <c r="H903" s="5" t="s">
        <v>18</v>
      </c>
      <c r="I903" s="2"/>
      <c r="J903" s="2"/>
      <c r="K903" s="2" t="s">
        <v>19</v>
      </c>
      <c r="L903" s="2"/>
    </row>
    <row r="904" spans="1:12" ht="39" x14ac:dyDescent="0.2">
      <c r="A904" s="2" t="s">
        <v>1819</v>
      </c>
      <c r="B904" s="2" t="s">
        <v>1991</v>
      </c>
      <c r="C904" s="2" t="s">
        <v>2002</v>
      </c>
      <c r="D904" s="2" t="s">
        <v>2003</v>
      </c>
      <c r="E904" s="6" t="s">
        <v>264</v>
      </c>
      <c r="F904" s="4" t="s">
        <v>17</v>
      </c>
      <c r="G904" s="2" t="s">
        <v>17</v>
      </c>
      <c r="H904" s="5" t="s">
        <v>18</v>
      </c>
      <c r="I904" s="2"/>
      <c r="J904" s="2"/>
      <c r="K904" s="2" t="s">
        <v>19</v>
      </c>
      <c r="L904" s="2"/>
    </row>
    <row r="905" spans="1:12" ht="39" x14ac:dyDescent="0.2">
      <c r="A905" s="2" t="s">
        <v>1819</v>
      </c>
      <c r="B905" s="2" t="s">
        <v>1991</v>
      </c>
      <c r="C905" s="2" t="s">
        <v>2004</v>
      </c>
      <c r="D905" s="2" t="s">
        <v>2005</v>
      </c>
      <c r="E905" s="6" t="s">
        <v>264</v>
      </c>
      <c r="F905" s="4" t="s">
        <v>17</v>
      </c>
      <c r="G905" s="2" t="s">
        <v>17</v>
      </c>
      <c r="H905" s="5" t="s">
        <v>18</v>
      </c>
      <c r="I905" s="2"/>
      <c r="J905" s="2"/>
      <c r="K905" s="2" t="s">
        <v>19</v>
      </c>
      <c r="L905" s="2"/>
    </row>
    <row r="906" spans="1:12" ht="78" x14ac:dyDescent="0.2">
      <c r="A906" s="2" t="s">
        <v>1819</v>
      </c>
      <c r="B906" s="2" t="s">
        <v>1991</v>
      </c>
      <c r="C906" s="2" t="s">
        <v>2006</v>
      </c>
      <c r="D906" s="28" t="s">
        <v>2007</v>
      </c>
      <c r="E906" s="6" t="s">
        <v>16</v>
      </c>
      <c r="F906" s="4" t="s">
        <v>17</v>
      </c>
      <c r="G906" s="2" t="s">
        <v>17</v>
      </c>
      <c r="H906" s="5" t="s">
        <v>2398</v>
      </c>
      <c r="I906" s="28" t="s">
        <v>2469</v>
      </c>
      <c r="J906" s="2"/>
      <c r="K906" s="2" t="s">
        <v>19</v>
      </c>
      <c r="L906" s="2"/>
    </row>
    <row r="907" spans="1:12" ht="65" x14ac:dyDescent="0.2">
      <c r="A907" s="2" t="s">
        <v>1819</v>
      </c>
      <c r="B907" s="2" t="s">
        <v>1991</v>
      </c>
      <c r="C907" s="2" t="s">
        <v>2008</v>
      </c>
      <c r="D907" s="28" t="s">
        <v>2009</v>
      </c>
      <c r="E907" s="6" t="s">
        <v>16</v>
      </c>
      <c r="F907" s="4" t="s">
        <v>17</v>
      </c>
      <c r="G907" s="2" t="s">
        <v>17</v>
      </c>
      <c r="H907" s="5" t="s">
        <v>2398</v>
      </c>
      <c r="I907" s="28" t="s">
        <v>2470</v>
      </c>
      <c r="J907" s="2"/>
      <c r="K907" s="2" t="s">
        <v>19</v>
      </c>
      <c r="L907" s="2"/>
    </row>
    <row r="908" spans="1:12" ht="39" x14ac:dyDescent="0.2">
      <c r="A908" s="2" t="s">
        <v>1819</v>
      </c>
      <c r="B908" s="2" t="s">
        <v>1991</v>
      </c>
      <c r="C908" s="2" t="s">
        <v>2010</v>
      </c>
      <c r="D908" s="2" t="s">
        <v>2011</v>
      </c>
      <c r="E908" s="6" t="s">
        <v>264</v>
      </c>
      <c r="F908" s="4" t="s">
        <v>17</v>
      </c>
      <c r="G908" s="2" t="s">
        <v>17</v>
      </c>
      <c r="H908" s="5" t="s">
        <v>18</v>
      </c>
      <c r="I908" s="2"/>
      <c r="J908" s="2"/>
      <c r="K908" s="2" t="s">
        <v>19</v>
      </c>
      <c r="L908" s="2"/>
    </row>
    <row r="909" spans="1:12" ht="39" x14ac:dyDescent="0.2">
      <c r="A909" s="2" t="s">
        <v>1819</v>
      </c>
      <c r="B909" s="2" t="s">
        <v>1991</v>
      </c>
      <c r="C909" s="2" t="s">
        <v>2012</v>
      </c>
      <c r="D909" s="2" t="s">
        <v>2013</v>
      </c>
      <c r="E909" s="6" t="s">
        <v>264</v>
      </c>
      <c r="F909" s="4" t="s">
        <v>17</v>
      </c>
      <c r="G909" s="2" t="s">
        <v>17</v>
      </c>
      <c r="H909" s="5" t="s">
        <v>18</v>
      </c>
      <c r="I909" s="2"/>
      <c r="J909" s="2"/>
      <c r="K909" s="2" t="s">
        <v>19</v>
      </c>
      <c r="L909" s="2"/>
    </row>
    <row r="910" spans="1:12" ht="39" x14ac:dyDescent="0.2">
      <c r="A910" s="2" t="s">
        <v>1819</v>
      </c>
      <c r="B910" s="2" t="s">
        <v>1991</v>
      </c>
      <c r="C910" s="2" t="s">
        <v>2014</v>
      </c>
      <c r="D910" s="2" t="s">
        <v>2015</v>
      </c>
      <c r="E910" s="6" t="s">
        <v>264</v>
      </c>
      <c r="F910" s="4" t="s">
        <v>17</v>
      </c>
      <c r="G910" s="2" t="s">
        <v>17</v>
      </c>
      <c r="H910" s="5" t="s">
        <v>18</v>
      </c>
      <c r="I910" s="2"/>
      <c r="J910" s="2"/>
      <c r="K910" s="2" t="s">
        <v>19</v>
      </c>
      <c r="L910" s="2"/>
    </row>
    <row r="911" spans="1:12" ht="39" x14ac:dyDescent="0.2">
      <c r="A911" s="2" t="s">
        <v>1819</v>
      </c>
      <c r="B911" s="2" t="s">
        <v>2016</v>
      </c>
      <c r="C911" s="2" t="s">
        <v>2017</v>
      </c>
      <c r="D911" s="2" t="s">
        <v>2018</v>
      </c>
      <c r="E911" s="6" t="s">
        <v>264</v>
      </c>
      <c r="F911" s="4" t="s">
        <v>17</v>
      </c>
      <c r="G911" s="2" t="s">
        <v>17</v>
      </c>
      <c r="H911" s="5" t="s">
        <v>18</v>
      </c>
      <c r="I911" s="2"/>
      <c r="J911" s="2"/>
      <c r="K911" s="2" t="s">
        <v>19</v>
      </c>
      <c r="L911" s="2"/>
    </row>
    <row r="912" spans="1:12" ht="91" x14ac:dyDescent="0.2">
      <c r="A912" s="2" t="s">
        <v>1819</v>
      </c>
      <c r="B912" s="2" t="s">
        <v>2016</v>
      </c>
      <c r="C912" s="2" t="s">
        <v>2019</v>
      </c>
      <c r="D912" s="28" t="s">
        <v>2020</v>
      </c>
      <c r="E912" s="6" t="s">
        <v>16</v>
      </c>
      <c r="F912" s="7" t="s">
        <v>272</v>
      </c>
      <c r="G912" s="2" t="s">
        <v>2021</v>
      </c>
      <c r="H912" s="5" t="s">
        <v>2398</v>
      </c>
      <c r="I912" s="28" t="s">
        <v>2471</v>
      </c>
      <c r="J912" s="2"/>
      <c r="K912" s="2" t="s">
        <v>19</v>
      </c>
      <c r="L912" s="2"/>
    </row>
    <row r="913" spans="1:12" ht="39" x14ac:dyDescent="0.2">
      <c r="A913" s="2" t="s">
        <v>1819</v>
      </c>
      <c r="B913" s="2" t="s">
        <v>2016</v>
      </c>
      <c r="C913" s="2" t="s">
        <v>2022</v>
      </c>
      <c r="D913" s="2" t="s">
        <v>2023</v>
      </c>
      <c r="E913" s="6" t="s">
        <v>264</v>
      </c>
      <c r="F913" s="4" t="s">
        <v>17</v>
      </c>
      <c r="G913" s="2" t="s">
        <v>17</v>
      </c>
      <c r="H913" s="5" t="s">
        <v>18</v>
      </c>
      <c r="I913" s="2"/>
      <c r="J913" s="2"/>
      <c r="K913" s="2" t="s">
        <v>19</v>
      </c>
      <c r="L913" s="2"/>
    </row>
    <row r="914" spans="1:12" ht="39" x14ac:dyDescent="0.2">
      <c r="A914" s="2" t="s">
        <v>1819</v>
      </c>
      <c r="B914" s="2" t="s">
        <v>2016</v>
      </c>
      <c r="C914" s="2" t="s">
        <v>2024</v>
      </c>
      <c r="D914" s="2" t="s">
        <v>2025</v>
      </c>
      <c r="E914" s="6" t="s">
        <v>264</v>
      </c>
      <c r="F914" s="4" t="s">
        <v>17</v>
      </c>
      <c r="G914" s="2" t="s">
        <v>17</v>
      </c>
      <c r="H914" s="5" t="s">
        <v>18</v>
      </c>
      <c r="I914" s="2"/>
      <c r="J914" s="2"/>
      <c r="K914" s="2" t="s">
        <v>19</v>
      </c>
      <c r="L914" s="2"/>
    </row>
    <row r="915" spans="1:12" ht="26" x14ac:dyDescent="0.2">
      <c r="A915" s="2" t="s">
        <v>1819</v>
      </c>
      <c r="B915" s="2" t="s">
        <v>2016</v>
      </c>
      <c r="C915" s="2" t="s">
        <v>2026</v>
      </c>
      <c r="D915" s="2" t="s">
        <v>2027</v>
      </c>
      <c r="E915" s="6" t="s">
        <v>264</v>
      </c>
      <c r="F915" s="4" t="s">
        <v>17</v>
      </c>
      <c r="G915" s="2" t="s">
        <v>17</v>
      </c>
      <c r="H915" s="5" t="s">
        <v>18</v>
      </c>
      <c r="I915" s="2"/>
      <c r="J915" s="2"/>
      <c r="K915" s="2" t="s">
        <v>19</v>
      </c>
      <c r="L915" s="2"/>
    </row>
    <row r="916" spans="1:12" ht="39" x14ac:dyDescent="0.2">
      <c r="A916" s="2" t="s">
        <v>1819</v>
      </c>
      <c r="B916" s="2" t="s">
        <v>2016</v>
      </c>
      <c r="C916" s="2" t="s">
        <v>2028</v>
      </c>
      <c r="D916" s="28" t="s">
        <v>2029</v>
      </c>
      <c r="E916" s="6" t="s">
        <v>264</v>
      </c>
      <c r="F916" s="4" t="s">
        <v>17</v>
      </c>
      <c r="G916" s="2" t="s">
        <v>17</v>
      </c>
      <c r="H916" s="5" t="s">
        <v>2395</v>
      </c>
      <c r="I916" s="2"/>
      <c r="J916" s="2"/>
      <c r="K916" s="2" t="s">
        <v>19</v>
      </c>
      <c r="L916" s="2"/>
    </row>
    <row r="917" spans="1:12" ht="52" x14ac:dyDescent="0.2">
      <c r="A917" s="2" t="s">
        <v>1819</v>
      </c>
      <c r="B917" s="2" t="s">
        <v>2016</v>
      </c>
      <c r="C917" s="2" t="s">
        <v>2030</v>
      </c>
      <c r="D917" s="2" t="s">
        <v>2031</v>
      </c>
      <c r="E917" s="6" t="s">
        <v>264</v>
      </c>
      <c r="F917" s="4" t="s">
        <v>17</v>
      </c>
      <c r="G917" s="2" t="s">
        <v>17</v>
      </c>
      <c r="H917" s="5" t="s">
        <v>18</v>
      </c>
      <c r="I917" s="2"/>
      <c r="J917" s="2"/>
      <c r="K917" s="2" t="s">
        <v>19</v>
      </c>
      <c r="L917" s="2"/>
    </row>
    <row r="918" spans="1:12" ht="39" x14ac:dyDescent="0.2">
      <c r="A918" s="2" t="s">
        <v>1819</v>
      </c>
      <c r="B918" s="2" t="s">
        <v>2016</v>
      </c>
      <c r="C918" s="2" t="s">
        <v>2032</v>
      </c>
      <c r="D918" s="2" t="s">
        <v>2033</v>
      </c>
      <c r="E918" s="6" t="s">
        <v>264</v>
      </c>
      <c r="F918" s="4" t="s">
        <v>17</v>
      </c>
      <c r="G918" s="2" t="s">
        <v>17</v>
      </c>
      <c r="H918" s="5" t="s">
        <v>18</v>
      </c>
      <c r="I918" s="2"/>
      <c r="J918" s="2"/>
      <c r="K918" s="2" t="s">
        <v>19</v>
      </c>
      <c r="L918" s="2"/>
    </row>
    <row r="919" spans="1:12" ht="39" x14ac:dyDescent="0.2">
      <c r="A919" s="2" t="s">
        <v>1819</v>
      </c>
      <c r="B919" s="2" t="s">
        <v>2016</v>
      </c>
      <c r="C919" s="2" t="s">
        <v>2034</v>
      </c>
      <c r="D919" s="2" t="s">
        <v>2035</v>
      </c>
      <c r="E919" s="6" t="s">
        <v>264</v>
      </c>
      <c r="F919" s="4" t="s">
        <v>17</v>
      </c>
      <c r="G919" s="2" t="s">
        <v>17</v>
      </c>
      <c r="H919" s="5" t="s">
        <v>18</v>
      </c>
      <c r="I919" s="2"/>
      <c r="J919" s="2"/>
      <c r="K919" s="2" t="s">
        <v>19</v>
      </c>
      <c r="L919" s="2"/>
    </row>
    <row r="920" spans="1:12" ht="39" x14ac:dyDescent="0.2">
      <c r="A920" s="2" t="s">
        <v>1819</v>
      </c>
      <c r="B920" s="2" t="s">
        <v>2016</v>
      </c>
      <c r="C920" s="2" t="s">
        <v>2036</v>
      </c>
      <c r="D920" s="2" t="s">
        <v>2037</v>
      </c>
      <c r="E920" s="6" t="s">
        <v>264</v>
      </c>
      <c r="F920" s="4" t="s">
        <v>17</v>
      </c>
      <c r="G920" s="2" t="s">
        <v>17</v>
      </c>
      <c r="H920" s="5" t="s">
        <v>18</v>
      </c>
      <c r="I920" s="2"/>
      <c r="J920" s="2"/>
      <c r="K920" s="2" t="s">
        <v>19</v>
      </c>
      <c r="L920" s="2"/>
    </row>
    <row r="921" spans="1:12" ht="117" x14ac:dyDescent="0.2">
      <c r="A921" s="2" t="s">
        <v>1819</v>
      </c>
      <c r="B921" s="2" t="s">
        <v>2038</v>
      </c>
      <c r="C921" s="2" t="s">
        <v>2039</v>
      </c>
      <c r="D921" s="28" t="s">
        <v>2040</v>
      </c>
      <c r="E921" s="6" t="s">
        <v>16</v>
      </c>
      <c r="F921" s="8" t="s">
        <v>317</v>
      </c>
      <c r="G921" s="2" t="s">
        <v>2041</v>
      </c>
      <c r="H921" s="5" t="s">
        <v>2398</v>
      </c>
      <c r="I921" s="28" t="s">
        <v>2472</v>
      </c>
      <c r="J921" s="2"/>
      <c r="K921" s="2" t="s">
        <v>19</v>
      </c>
      <c r="L921" s="2"/>
    </row>
    <row r="922" spans="1:12" ht="26" x14ac:dyDescent="0.2">
      <c r="A922" s="2" t="s">
        <v>1819</v>
      </c>
      <c r="B922" s="2" t="s">
        <v>2038</v>
      </c>
      <c r="C922" s="2" t="s">
        <v>2042</v>
      </c>
      <c r="D922" s="2" t="s">
        <v>2043</v>
      </c>
      <c r="E922" s="6" t="s">
        <v>264</v>
      </c>
      <c r="F922" s="4" t="s">
        <v>17</v>
      </c>
      <c r="G922" s="2" t="s">
        <v>17</v>
      </c>
      <c r="H922" s="5" t="s">
        <v>18</v>
      </c>
      <c r="I922" s="2"/>
      <c r="J922" s="2"/>
      <c r="K922" s="2" t="s">
        <v>19</v>
      </c>
      <c r="L922" s="2"/>
    </row>
    <row r="923" spans="1:12" ht="39" x14ac:dyDescent="0.2">
      <c r="A923" s="2" t="s">
        <v>1819</v>
      </c>
      <c r="B923" s="2" t="s">
        <v>2038</v>
      </c>
      <c r="C923" s="2" t="s">
        <v>2044</v>
      </c>
      <c r="D923" s="2" t="s">
        <v>2045</v>
      </c>
      <c r="E923" s="6" t="s">
        <v>264</v>
      </c>
      <c r="F923" s="4" t="s">
        <v>17</v>
      </c>
      <c r="G923" s="2" t="s">
        <v>17</v>
      </c>
      <c r="H923" s="5" t="s">
        <v>18</v>
      </c>
      <c r="I923" s="2"/>
      <c r="J923" s="2"/>
      <c r="K923" s="2" t="s">
        <v>19</v>
      </c>
      <c r="L923" s="2"/>
    </row>
    <row r="924" spans="1:12" ht="39" x14ac:dyDescent="0.2">
      <c r="A924" s="2" t="s">
        <v>1819</v>
      </c>
      <c r="B924" s="2" t="s">
        <v>2038</v>
      </c>
      <c r="C924" s="2" t="s">
        <v>2046</v>
      </c>
      <c r="D924" s="2" t="s">
        <v>2047</v>
      </c>
      <c r="E924" s="6" t="s">
        <v>264</v>
      </c>
      <c r="F924" s="4" t="s">
        <v>17</v>
      </c>
      <c r="G924" s="2" t="s">
        <v>17</v>
      </c>
      <c r="H924" s="5" t="s">
        <v>18</v>
      </c>
      <c r="I924" s="2"/>
      <c r="J924" s="2"/>
      <c r="K924" s="2" t="s">
        <v>19</v>
      </c>
      <c r="L924" s="2"/>
    </row>
    <row r="925" spans="1:12" ht="39" x14ac:dyDescent="0.2">
      <c r="A925" s="2" t="s">
        <v>1819</v>
      </c>
      <c r="B925" s="2" t="s">
        <v>2038</v>
      </c>
      <c r="C925" s="2" t="s">
        <v>2048</v>
      </c>
      <c r="D925" s="28" t="s">
        <v>2049</v>
      </c>
      <c r="E925" s="6" t="s">
        <v>264</v>
      </c>
      <c r="F925" s="4" t="s">
        <v>17</v>
      </c>
      <c r="G925" s="2" t="s">
        <v>17</v>
      </c>
      <c r="H925" s="5" t="s">
        <v>2395</v>
      </c>
      <c r="I925" s="2"/>
      <c r="J925" s="2" t="s">
        <v>2460</v>
      </c>
      <c r="K925" s="2" t="s">
        <v>19</v>
      </c>
      <c r="L925" s="2"/>
    </row>
    <row r="926" spans="1:12" ht="26" x14ac:dyDescent="0.2">
      <c r="A926" s="2" t="s">
        <v>1819</v>
      </c>
      <c r="B926" s="2" t="s">
        <v>2038</v>
      </c>
      <c r="C926" s="2" t="s">
        <v>2050</v>
      </c>
      <c r="D926" s="2" t="s">
        <v>2051</v>
      </c>
      <c r="E926" s="6" t="s">
        <v>264</v>
      </c>
      <c r="F926" s="4" t="s">
        <v>17</v>
      </c>
      <c r="G926" s="2" t="s">
        <v>17</v>
      </c>
      <c r="H926" s="5" t="s">
        <v>18</v>
      </c>
      <c r="I926" s="2"/>
      <c r="J926" s="2"/>
      <c r="K926" s="2" t="s">
        <v>19</v>
      </c>
      <c r="L926" s="2"/>
    </row>
    <row r="927" spans="1:12" ht="52" x14ac:dyDescent="0.2">
      <c r="A927" s="2" t="s">
        <v>1819</v>
      </c>
      <c r="B927" s="2" t="s">
        <v>2052</v>
      </c>
      <c r="C927" s="2" t="s">
        <v>2053</v>
      </c>
      <c r="D927" s="2" t="s">
        <v>2054</v>
      </c>
      <c r="E927" s="6" t="s">
        <v>264</v>
      </c>
      <c r="F927" s="4" t="s">
        <v>17</v>
      </c>
      <c r="G927" s="2" t="s">
        <v>17</v>
      </c>
      <c r="H927" s="5" t="s">
        <v>18</v>
      </c>
      <c r="I927" s="2"/>
      <c r="J927" s="2"/>
      <c r="K927" s="2" t="s">
        <v>19</v>
      </c>
      <c r="L927" s="2"/>
    </row>
    <row r="928" spans="1:12" ht="39" x14ac:dyDescent="0.2">
      <c r="A928" s="2" t="s">
        <v>1819</v>
      </c>
      <c r="B928" s="2" t="s">
        <v>2052</v>
      </c>
      <c r="C928" s="2" t="s">
        <v>2055</v>
      </c>
      <c r="D928" s="2" t="s">
        <v>2056</v>
      </c>
      <c r="E928" s="6" t="s">
        <v>264</v>
      </c>
      <c r="F928" s="4" t="s">
        <v>17</v>
      </c>
      <c r="G928" s="2" t="s">
        <v>17</v>
      </c>
      <c r="H928" s="5" t="s">
        <v>18</v>
      </c>
      <c r="I928" s="2"/>
      <c r="J928" s="2"/>
      <c r="K928" s="2" t="s">
        <v>19</v>
      </c>
      <c r="L928" s="2"/>
    </row>
    <row r="929" spans="1:12" ht="39" x14ac:dyDescent="0.2">
      <c r="A929" s="2" t="s">
        <v>1819</v>
      </c>
      <c r="B929" s="2" t="s">
        <v>2052</v>
      </c>
      <c r="C929" s="2" t="s">
        <v>2057</v>
      </c>
      <c r="D929" s="2" t="s">
        <v>2058</v>
      </c>
      <c r="E929" s="6" t="s">
        <v>264</v>
      </c>
      <c r="F929" s="4" t="s">
        <v>17</v>
      </c>
      <c r="G929" s="2" t="s">
        <v>17</v>
      </c>
      <c r="H929" s="5" t="s">
        <v>18</v>
      </c>
      <c r="I929" s="2"/>
      <c r="J929" s="2"/>
      <c r="K929" s="2" t="s">
        <v>19</v>
      </c>
      <c r="L929" s="2"/>
    </row>
    <row r="930" spans="1:12" ht="52" x14ac:dyDescent="0.2">
      <c r="A930" s="2" t="s">
        <v>1819</v>
      </c>
      <c r="B930" s="2" t="s">
        <v>2052</v>
      </c>
      <c r="C930" s="2" t="s">
        <v>2059</v>
      </c>
      <c r="D930" s="28" t="s">
        <v>2060</v>
      </c>
      <c r="E930" s="6" t="s">
        <v>16</v>
      </c>
      <c r="F930" s="4" t="s">
        <v>17</v>
      </c>
      <c r="G930" s="2" t="s">
        <v>17</v>
      </c>
      <c r="H930" s="5" t="s">
        <v>2398</v>
      </c>
      <c r="I930" s="32" t="s">
        <v>2473</v>
      </c>
      <c r="J930" s="2"/>
      <c r="K930" s="2" t="s">
        <v>19</v>
      </c>
      <c r="L930" s="2"/>
    </row>
    <row r="931" spans="1:12" ht="39" x14ac:dyDescent="0.2">
      <c r="A931" s="2" t="s">
        <v>1819</v>
      </c>
      <c r="B931" s="2" t="s">
        <v>2052</v>
      </c>
      <c r="C931" s="2" t="s">
        <v>2061</v>
      </c>
      <c r="D931" s="2" t="s">
        <v>2062</v>
      </c>
      <c r="E931" s="6" t="s">
        <v>264</v>
      </c>
      <c r="F931" s="4" t="s">
        <v>17</v>
      </c>
      <c r="G931" s="2" t="s">
        <v>17</v>
      </c>
      <c r="H931" s="5" t="s">
        <v>18</v>
      </c>
      <c r="I931" s="2"/>
      <c r="J931" s="2"/>
      <c r="K931" s="2" t="s">
        <v>19</v>
      </c>
      <c r="L931" s="2"/>
    </row>
    <row r="932" spans="1:12" ht="39" x14ac:dyDescent="0.2">
      <c r="A932" s="2" t="s">
        <v>1819</v>
      </c>
      <c r="B932" s="2" t="s">
        <v>2052</v>
      </c>
      <c r="C932" s="2" t="s">
        <v>2063</v>
      </c>
      <c r="D932" s="2" t="s">
        <v>2064</v>
      </c>
      <c r="E932" s="6" t="s">
        <v>264</v>
      </c>
      <c r="F932" s="4" t="s">
        <v>17</v>
      </c>
      <c r="G932" s="2" t="s">
        <v>17</v>
      </c>
      <c r="H932" s="5" t="s">
        <v>18</v>
      </c>
      <c r="I932" s="2"/>
      <c r="J932" s="2"/>
      <c r="K932" s="2" t="s">
        <v>19</v>
      </c>
      <c r="L932" s="2"/>
    </row>
    <row r="933" spans="1:12" ht="39" x14ac:dyDescent="0.2">
      <c r="A933" s="2" t="s">
        <v>1819</v>
      </c>
      <c r="B933" s="2" t="s">
        <v>2052</v>
      </c>
      <c r="C933" s="2" t="s">
        <v>2065</v>
      </c>
      <c r="D933" s="2" t="s">
        <v>2066</v>
      </c>
      <c r="E933" s="6" t="s">
        <v>264</v>
      </c>
      <c r="F933" s="4" t="s">
        <v>17</v>
      </c>
      <c r="G933" s="2" t="s">
        <v>17</v>
      </c>
      <c r="H933" s="5" t="s">
        <v>18</v>
      </c>
      <c r="I933" s="2"/>
      <c r="J933" s="2"/>
      <c r="K933" s="2" t="s">
        <v>19</v>
      </c>
      <c r="L933" s="2"/>
    </row>
    <row r="934" spans="1:12" ht="39" x14ac:dyDescent="0.2">
      <c r="A934" s="2" t="s">
        <v>1819</v>
      </c>
      <c r="B934" s="2" t="s">
        <v>2052</v>
      </c>
      <c r="C934" s="2" t="s">
        <v>2067</v>
      </c>
      <c r="D934" s="2" t="s">
        <v>2068</v>
      </c>
      <c r="E934" s="6" t="s">
        <v>264</v>
      </c>
      <c r="F934" s="4" t="s">
        <v>17</v>
      </c>
      <c r="G934" s="2" t="s">
        <v>17</v>
      </c>
      <c r="H934" s="5" t="s">
        <v>18</v>
      </c>
      <c r="I934" s="2"/>
      <c r="J934" s="2"/>
      <c r="K934" s="2" t="s">
        <v>19</v>
      </c>
      <c r="L934" s="2"/>
    </row>
    <row r="935" spans="1:12" ht="91" x14ac:dyDescent="0.2">
      <c r="A935" s="2" t="s">
        <v>1819</v>
      </c>
      <c r="B935" s="2" t="s">
        <v>2069</v>
      </c>
      <c r="C935" s="2" t="s">
        <v>2070</v>
      </c>
      <c r="D935" s="28" t="s">
        <v>2071</v>
      </c>
      <c r="E935" s="6" t="s">
        <v>264</v>
      </c>
      <c r="F935" s="10" t="s">
        <v>2072</v>
      </c>
      <c r="G935" s="2" t="s">
        <v>2073</v>
      </c>
      <c r="H935" s="5" t="s">
        <v>2398</v>
      </c>
      <c r="I935" s="2" t="s">
        <v>2461</v>
      </c>
      <c r="J935" s="2"/>
      <c r="K935" s="2" t="s">
        <v>19</v>
      </c>
      <c r="L935" s="2"/>
    </row>
    <row r="936" spans="1:12" ht="52" x14ac:dyDescent="0.2">
      <c r="A936" s="2" t="s">
        <v>1819</v>
      </c>
      <c r="B936" s="2" t="s">
        <v>2069</v>
      </c>
      <c r="C936" s="2" t="s">
        <v>2074</v>
      </c>
      <c r="D936" s="2" t="s">
        <v>2075</v>
      </c>
      <c r="E936" s="6" t="s">
        <v>264</v>
      </c>
      <c r="F936" s="4" t="s">
        <v>17</v>
      </c>
      <c r="G936" s="2" t="s">
        <v>17</v>
      </c>
      <c r="H936" s="5" t="s">
        <v>18</v>
      </c>
      <c r="I936" s="2"/>
      <c r="J936" s="2"/>
      <c r="K936" s="2" t="s">
        <v>19</v>
      </c>
      <c r="L936" s="2"/>
    </row>
    <row r="937" spans="1:12" ht="52" x14ac:dyDescent="0.2">
      <c r="A937" s="2" t="s">
        <v>1819</v>
      </c>
      <c r="B937" s="2" t="s">
        <v>2069</v>
      </c>
      <c r="C937" s="2" t="s">
        <v>2076</v>
      </c>
      <c r="D937" s="2" t="s">
        <v>2077</v>
      </c>
      <c r="E937" s="6" t="s">
        <v>264</v>
      </c>
      <c r="F937" s="4" t="s">
        <v>17</v>
      </c>
      <c r="G937" s="2" t="s">
        <v>17</v>
      </c>
      <c r="H937" s="5" t="s">
        <v>18</v>
      </c>
      <c r="I937" s="2"/>
      <c r="J937" s="2"/>
      <c r="K937" s="2" t="s">
        <v>19</v>
      </c>
      <c r="L937" s="2"/>
    </row>
    <row r="938" spans="1:12" ht="91" x14ac:dyDescent="0.2">
      <c r="A938" s="2" t="s">
        <v>1819</v>
      </c>
      <c r="B938" s="2" t="s">
        <v>2069</v>
      </c>
      <c r="C938" s="2" t="s">
        <v>2078</v>
      </c>
      <c r="D938" s="28" t="s">
        <v>2079</v>
      </c>
      <c r="E938" s="6" t="s">
        <v>16</v>
      </c>
      <c r="F938" s="4" t="s">
        <v>17</v>
      </c>
      <c r="G938" s="2" t="s">
        <v>17</v>
      </c>
      <c r="H938" s="5" t="s">
        <v>2398</v>
      </c>
      <c r="I938" s="28" t="s">
        <v>2474</v>
      </c>
      <c r="J938" s="2"/>
      <c r="K938" s="2" t="s">
        <v>19</v>
      </c>
      <c r="L938" s="2"/>
    </row>
    <row r="939" spans="1:12" ht="52" x14ac:dyDescent="0.2">
      <c r="A939" s="2" t="s">
        <v>1819</v>
      </c>
      <c r="B939" s="2" t="s">
        <v>2069</v>
      </c>
      <c r="C939" s="2" t="s">
        <v>2080</v>
      </c>
      <c r="D939" s="2" t="s">
        <v>2081</v>
      </c>
      <c r="E939" s="6" t="s">
        <v>264</v>
      </c>
      <c r="F939" s="4" t="s">
        <v>17</v>
      </c>
      <c r="G939" s="2" t="s">
        <v>17</v>
      </c>
      <c r="H939" s="5" t="s">
        <v>18</v>
      </c>
      <c r="I939" s="2"/>
      <c r="J939" s="2"/>
      <c r="K939" s="2" t="s">
        <v>19</v>
      </c>
      <c r="L939" s="2"/>
    </row>
    <row r="940" spans="1:12" ht="39" x14ac:dyDescent="0.2">
      <c r="A940" s="2" t="s">
        <v>1819</v>
      </c>
      <c r="B940" s="2" t="s">
        <v>2069</v>
      </c>
      <c r="C940" s="2" t="s">
        <v>2082</v>
      </c>
      <c r="D940" s="2" t="s">
        <v>2083</v>
      </c>
      <c r="E940" s="6" t="s">
        <v>264</v>
      </c>
      <c r="F940" s="4" t="s">
        <v>17</v>
      </c>
      <c r="G940" s="2" t="s">
        <v>17</v>
      </c>
      <c r="H940" s="5" t="s">
        <v>18</v>
      </c>
      <c r="I940" s="2"/>
      <c r="J940" s="2"/>
      <c r="K940" s="2" t="s">
        <v>19</v>
      </c>
      <c r="L940" s="2"/>
    </row>
    <row r="941" spans="1:12" ht="52" x14ac:dyDescent="0.2">
      <c r="A941" s="2" t="s">
        <v>1819</v>
      </c>
      <c r="B941" s="2" t="s">
        <v>2069</v>
      </c>
      <c r="C941" s="2" t="s">
        <v>2084</v>
      </c>
      <c r="D941" s="2" t="s">
        <v>2085</v>
      </c>
      <c r="E941" s="6" t="s">
        <v>264</v>
      </c>
      <c r="F941" s="4" t="s">
        <v>17</v>
      </c>
      <c r="G941" s="2" t="s">
        <v>17</v>
      </c>
      <c r="H941" s="5" t="s">
        <v>18</v>
      </c>
      <c r="I941" s="2"/>
      <c r="J941" s="2"/>
      <c r="K941" s="2" t="s">
        <v>19</v>
      </c>
      <c r="L941" s="2"/>
    </row>
    <row r="942" spans="1:12" ht="39" x14ac:dyDescent="0.2">
      <c r="A942" s="2" t="s">
        <v>1819</v>
      </c>
      <c r="B942" s="2" t="s">
        <v>2069</v>
      </c>
      <c r="C942" s="2" t="s">
        <v>2086</v>
      </c>
      <c r="D942" s="2" t="s">
        <v>2087</v>
      </c>
      <c r="E942" s="6" t="s">
        <v>264</v>
      </c>
      <c r="F942" s="4" t="s">
        <v>17</v>
      </c>
      <c r="G942" s="2" t="s">
        <v>17</v>
      </c>
      <c r="H942" s="5" t="s">
        <v>18</v>
      </c>
      <c r="I942" s="2"/>
      <c r="J942" s="2"/>
      <c r="K942" s="2" t="s">
        <v>19</v>
      </c>
      <c r="L942" s="2"/>
    </row>
    <row r="943" spans="1:12" ht="52" x14ac:dyDescent="0.2">
      <c r="A943" s="2" t="s">
        <v>2088</v>
      </c>
      <c r="B943" s="2" t="s">
        <v>2089</v>
      </c>
      <c r="C943" s="2" t="s">
        <v>2090</v>
      </c>
      <c r="D943" s="2" t="s">
        <v>2091</v>
      </c>
      <c r="E943" s="3" t="s">
        <v>16</v>
      </c>
      <c r="F943" s="4" t="s">
        <v>17</v>
      </c>
      <c r="G943" s="2" t="s">
        <v>17</v>
      </c>
      <c r="H943" s="5" t="s">
        <v>18</v>
      </c>
      <c r="I943" s="2"/>
      <c r="J943" s="2"/>
      <c r="K943" s="2" t="s">
        <v>19</v>
      </c>
      <c r="L943" s="2"/>
    </row>
    <row r="944" spans="1:12" ht="39" x14ac:dyDescent="0.2">
      <c r="A944" s="2" t="s">
        <v>2088</v>
      </c>
      <c r="B944" s="2" t="s">
        <v>2089</v>
      </c>
      <c r="C944" s="2" t="s">
        <v>2092</v>
      </c>
      <c r="D944" s="2" t="s">
        <v>2093</v>
      </c>
      <c r="E944" s="3" t="s">
        <v>16</v>
      </c>
      <c r="F944" s="4" t="s">
        <v>17</v>
      </c>
      <c r="G944" s="2" t="s">
        <v>17</v>
      </c>
      <c r="H944" s="5" t="s">
        <v>18</v>
      </c>
      <c r="I944" s="2"/>
      <c r="J944" s="2"/>
      <c r="K944" s="2" t="s">
        <v>19</v>
      </c>
      <c r="L944" s="2"/>
    </row>
    <row r="945" spans="1:12" ht="39" x14ac:dyDescent="0.2">
      <c r="A945" s="2" t="s">
        <v>2088</v>
      </c>
      <c r="B945" s="2" t="s">
        <v>2089</v>
      </c>
      <c r="C945" s="2" t="s">
        <v>2094</v>
      </c>
      <c r="D945" s="2" t="s">
        <v>2095</v>
      </c>
      <c r="E945" s="3" t="s">
        <v>16</v>
      </c>
      <c r="F945" s="4" t="s">
        <v>17</v>
      </c>
      <c r="G945" s="2" t="s">
        <v>17</v>
      </c>
      <c r="H945" s="5" t="s">
        <v>18</v>
      </c>
      <c r="I945" s="2"/>
      <c r="J945" s="2"/>
      <c r="K945" s="2" t="s">
        <v>19</v>
      </c>
      <c r="L945" s="2"/>
    </row>
    <row r="946" spans="1:12" ht="52" x14ac:dyDescent="0.2">
      <c r="A946" s="2" t="s">
        <v>2088</v>
      </c>
      <c r="B946" s="2" t="s">
        <v>2089</v>
      </c>
      <c r="C946" s="2" t="s">
        <v>2096</v>
      </c>
      <c r="D946" s="2" t="s">
        <v>2097</v>
      </c>
      <c r="E946" s="3" t="s">
        <v>16</v>
      </c>
      <c r="F946" s="4" t="s">
        <v>17</v>
      </c>
      <c r="G946" s="2" t="s">
        <v>17</v>
      </c>
      <c r="H946" s="5" t="s">
        <v>18</v>
      </c>
      <c r="I946" s="2"/>
      <c r="J946" s="2"/>
      <c r="K946" s="2" t="s">
        <v>19</v>
      </c>
      <c r="L946" s="2"/>
    </row>
    <row r="947" spans="1:12" ht="78" x14ac:dyDescent="0.2">
      <c r="A947" s="2" t="s">
        <v>2088</v>
      </c>
      <c r="B947" s="2" t="s">
        <v>2098</v>
      </c>
      <c r="C947" s="2" t="s">
        <v>2099</v>
      </c>
      <c r="D947" s="2" t="s">
        <v>2100</v>
      </c>
      <c r="E947" s="3" t="s">
        <v>16</v>
      </c>
      <c r="F947" s="4" t="s">
        <v>17</v>
      </c>
      <c r="G947" s="2" t="s">
        <v>17</v>
      </c>
      <c r="H947" s="5" t="s">
        <v>18</v>
      </c>
      <c r="I947" s="2"/>
      <c r="J947" s="2"/>
      <c r="K947" s="2" t="s">
        <v>19</v>
      </c>
      <c r="L947" s="2"/>
    </row>
    <row r="948" spans="1:12" ht="52" x14ac:dyDescent="0.2">
      <c r="A948" s="2" t="s">
        <v>2088</v>
      </c>
      <c r="B948" s="2" t="s">
        <v>2098</v>
      </c>
      <c r="C948" s="2" t="s">
        <v>2101</v>
      </c>
      <c r="D948" s="2" t="s">
        <v>2102</v>
      </c>
      <c r="E948" s="3" t="s">
        <v>16</v>
      </c>
      <c r="F948" s="4" t="s">
        <v>17</v>
      </c>
      <c r="G948" s="2" t="s">
        <v>17</v>
      </c>
      <c r="H948" s="5" t="s">
        <v>18</v>
      </c>
      <c r="I948" s="2"/>
      <c r="J948" s="2"/>
      <c r="K948" s="2" t="s">
        <v>19</v>
      </c>
      <c r="L948" s="2"/>
    </row>
    <row r="949" spans="1:12" ht="26" x14ac:dyDescent="0.2">
      <c r="A949" s="2" t="s">
        <v>2088</v>
      </c>
      <c r="B949" s="2" t="s">
        <v>2098</v>
      </c>
      <c r="C949" s="2" t="s">
        <v>2103</v>
      </c>
      <c r="D949" s="2" t="s">
        <v>2104</v>
      </c>
      <c r="E949" s="3" t="s">
        <v>16</v>
      </c>
      <c r="F949" s="4" t="s">
        <v>17</v>
      </c>
      <c r="G949" s="2" t="s">
        <v>17</v>
      </c>
      <c r="H949" s="5" t="s">
        <v>18</v>
      </c>
      <c r="I949" s="2"/>
      <c r="J949" s="2"/>
      <c r="K949" s="2" t="s">
        <v>19</v>
      </c>
      <c r="L949" s="2"/>
    </row>
    <row r="950" spans="1:12" ht="39" x14ac:dyDescent="0.2">
      <c r="A950" s="2" t="s">
        <v>2088</v>
      </c>
      <c r="B950" s="2" t="s">
        <v>2098</v>
      </c>
      <c r="C950" s="2" t="s">
        <v>2105</v>
      </c>
      <c r="D950" s="2" t="s">
        <v>2106</v>
      </c>
      <c r="E950" s="3" t="s">
        <v>16</v>
      </c>
      <c r="F950" s="4" t="s">
        <v>17</v>
      </c>
      <c r="G950" s="2" t="s">
        <v>17</v>
      </c>
      <c r="H950" s="5" t="s">
        <v>18</v>
      </c>
      <c r="I950" s="2"/>
      <c r="J950" s="2"/>
      <c r="K950" s="2" t="s">
        <v>19</v>
      </c>
      <c r="L950" s="2"/>
    </row>
    <row r="951" spans="1:12" ht="39" x14ac:dyDescent="0.2">
      <c r="A951" s="2" t="s">
        <v>2088</v>
      </c>
      <c r="B951" s="2" t="s">
        <v>2107</v>
      </c>
      <c r="C951" s="2" t="s">
        <v>2108</v>
      </c>
      <c r="D951" s="2" t="s">
        <v>2109</v>
      </c>
      <c r="E951" s="3" t="s">
        <v>16</v>
      </c>
      <c r="F951" s="4" t="s">
        <v>17</v>
      </c>
      <c r="G951" s="2" t="s">
        <v>17</v>
      </c>
      <c r="H951" s="5" t="s">
        <v>18</v>
      </c>
      <c r="I951" s="2"/>
      <c r="J951" s="2"/>
      <c r="K951" s="2" t="s">
        <v>19</v>
      </c>
      <c r="L951" s="2"/>
    </row>
    <row r="952" spans="1:12" ht="39" x14ac:dyDescent="0.2">
      <c r="A952" s="2" t="s">
        <v>2088</v>
      </c>
      <c r="B952" s="2" t="s">
        <v>2107</v>
      </c>
      <c r="C952" s="2" t="s">
        <v>2110</v>
      </c>
      <c r="D952" s="2" t="s">
        <v>2111</v>
      </c>
      <c r="E952" s="3" t="s">
        <v>16</v>
      </c>
      <c r="F952" s="4" t="s">
        <v>17</v>
      </c>
      <c r="G952" s="2" t="s">
        <v>17</v>
      </c>
      <c r="H952" s="5" t="s">
        <v>18</v>
      </c>
      <c r="I952" s="2"/>
      <c r="J952" s="2"/>
      <c r="K952" s="2" t="s">
        <v>19</v>
      </c>
      <c r="L952" s="2"/>
    </row>
    <row r="953" spans="1:12" ht="39" x14ac:dyDescent="0.2">
      <c r="A953" s="2" t="s">
        <v>2088</v>
      </c>
      <c r="B953" s="2" t="s">
        <v>2107</v>
      </c>
      <c r="C953" s="2" t="s">
        <v>2112</v>
      </c>
      <c r="D953" s="2" t="s">
        <v>2113</v>
      </c>
      <c r="E953" s="3" t="s">
        <v>16</v>
      </c>
      <c r="F953" s="4" t="s">
        <v>17</v>
      </c>
      <c r="G953" s="2" t="s">
        <v>17</v>
      </c>
      <c r="H953" s="5" t="s">
        <v>18</v>
      </c>
      <c r="I953" s="2"/>
      <c r="J953" s="2"/>
      <c r="K953" s="2" t="s">
        <v>19</v>
      </c>
      <c r="L953" s="2"/>
    </row>
    <row r="954" spans="1:12" ht="39" x14ac:dyDescent="0.2">
      <c r="A954" s="2" t="s">
        <v>2088</v>
      </c>
      <c r="B954" s="2" t="s">
        <v>2107</v>
      </c>
      <c r="C954" s="2" t="s">
        <v>2114</v>
      </c>
      <c r="D954" s="2" t="s">
        <v>2115</v>
      </c>
      <c r="E954" s="3" t="s">
        <v>16</v>
      </c>
      <c r="F954" s="4" t="s">
        <v>17</v>
      </c>
      <c r="G954" s="2" t="s">
        <v>17</v>
      </c>
      <c r="H954" s="5" t="s">
        <v>18</v>
      </c>
      <c r="I954" s="2"/>
      <c r="J954" s="2"/>
      <c r="K954" s="2" t="s">
        <v>19</v>
      </c>
      <c r="L954" s="2"/>
    </row>
    <row r="955" spans="1:12" ht="39" x14ac:dyDescent="0.2">
      <c r="A955" s="2" t="s">
        <v>2088</v>
      </c>
      <c r="B955" s="2" t="s">
        <v>2107</v>
      </c>
      <c r="C955" s="2" t="s">
        <v>2116</v>
      </c>
      <c r="D955" s="2" t="s">
        <v>2117</v>
      </c>
      <c r="E955" s="3" t="s">
        <v>16</v>
      </c>
      <c r="F955" s="4" t="s">
        <v>17</v>
      </c>
      <c r="G955" s="2" t="s">
        <v>17</v>
      </c>
      <c r="H955" s="5" t="s">
        <v>18</v>
      </c>
      <c r="I955" s="2"/>
      <c r="J955" s="2"/>
      <c r="K955" s="2" t="s">
        <v>19</v>
      </c>
      <c r="L955" s="2"/>
    </row>
    <row r="956" spans="1:12" ht="39" x14ac:dyDescent="0.2">
      <c r="A956" s="2" t="s">
        <v>2088</v>
      </c>
      <c r="B956" s="2" t="s">
        <v>2107</v>
      </c>
      <c r="C956" s="2" t="s">
        <v>2118</v>
      </c>
      <c r="D956" s="2" t="s">
        <v>2119</v>
      </c>
      <c r="E956" s="3" t="s">
        <v>16</v>
      </c>
      <c r="F956" s="4" t="s">
        <v>17</v>
      </c>
      <c r="G956" s="2" t="s">
        <v>17</v>
      </c>
      <c r="H956" s="5" t="s">
        <v>18</v>
      </c>
      <c r="I956" s="2"/>
      <c r="J956" s="2"/>
      <c r="K956" s="2" t="s">
        <v>19</v>
      </c>
      <c r="L956" s="2"/>
    </row>
    <row r="957" spans="1:12" ht="39" x14ac:dyDescent="0.2">
      <c r="A957" s="2" t="s">
        <v>2088</v>
      </c>
      <c r="B957" s="2" t="s">
        <v>2107</v>
      </c>
      <c r="C957" s="2" t="s">
        <v>2120</v>
      </c>
      <c r="D957" s="2" t="s">
        <v>2121</v>
      </c>
      <c r="E957" s="3" t="s">
        <v>16</v>
      </c>
      <c r="F957" s="4" t="s">
        <v>17</v>
      </c>
      <c r="G957" s="2" t="s">
        <v>17</v>
      </c>
      <c r="H957" s="5" t="s">
        <v>18</v>
      </c>
      <c r="I957" s="2"/>
      <c r="J957" s="2"/>
      <c r="K957" s="2" t="s">
        <v>19</v>
      </c>
      <c r="L957" s="2"/>
    </row>
    <row r="958" spans="1:12" ht="39" x14ac:dyDescent="0.2">
      <c r="A958" s="2" t="s">
        <v>2088</v>
      </c>
      <c r="B958" s="2" t="s">
        <v>2107</v>
      </c>
      <c r="C958" s="2" t="s">
        <v>2122</v>
      </c>
      <c r="D958" s="2" t="s">
        <v>2123</v>
      </c>
      <c r="E958" s="3" t="s">
        <v>16</v>
      </c>
      <c r="F958" s="4" t="s">
        <v>17</v>
      </c>
      <c r="G958" s="2" t="s">
        <v>17</v>
      </c>
      <c r="H958" s="5" t="s">
        <v>18</v>
      </c>
      <c r="I958" s="2"/>
      <c r="J958" s="2"/>
      <c r="K958" s="2" t="s">
        <v>19</v>
      </c>
      <c r="L958" s="2"/>
    </row>
    <row r="959" spans="1:12" ht="39" x14ac:dyDescent="0.2">
      <c r="A959" s="2" t="s">
        <v>2088</v>
      </c>
      <c r="B959" s="2" t="s">
        <v>2107</v>
      </c>
      <c r="C959" s="2" t="s">
        <v>2124</v>
      </c>
      <c r="D959" s="2" t="s">
        <v>2125</v>
      </c>
      <c r="E959" s="3" t="s">
        <v>16</v>
      </c>
      <c r="F959" s="4" t="s">
        <v>17</v>
      </c>
      <c r="G959" s="2" t="s">
        <v>17</v>
      </c>
      <c r="H959" s="5" t="s">
        <v>18</v>
      </c>
      <c r="I959" s="2"/>
      <c r="J959" s="2"/>
      <c r="K959" s="2" t="s">
        <v>19</v>
      </c>
      <c r="L959" s="2"/>
    </row>
    <row r="960" spans="1:12" ht="52" x14ac:dyDescent="0.2">
      <c r="A960" s="2" t="s">
        <v>2088</v>
      </c>
      <c r="B960" s="2" t="s">
        <v>2107</v>
      </c>
      <c r="C960" s="2" t="s">
        <v>2126</v>
      </c>
      <c r="D960" s="2" t="s">
        <v>2127</v>
      </c>
      <c r="E960" s="3" t="s">
        <v>16</v>
      </c>
      <c r="F960" s="4" t="s">
        <v>17</v>
      </c>
      <c r="G960" s="2" t="s">
        <v>17</v>
      </c>
      <c r="H960" s="5" t="s">
        <v>18</v>
      </c>
      <c r="I960" s="2"/>
      <c r="J960" s="2"/>
      <c r="K960" s="2" t="s">
        <v>19</v>
      </c>
      <c r="L960" s="2"/>
    </row>
    <row r="961" spans="1:12" ht="39" x14ac:dyDescent="0.2">
      <c r="A961" s="2" t="s">
        <v>2088</v>
      </c>
      <c r="B961" s="2" t="s">
        <v>2128</v>
      </c>
      <c r="C961" s="2" t="s">
        <v>2129</v>
      </c>
      <c r="D961" s="2" t="s">
        <v>2130</v>
      </c>
      <c r="E961" s="3" t="s">
        <v>16</v>
      </c>
      <c r="F961" s="4" t="s">
        <v>17</v>
      </c>
      <c r="G961" s="2" t="s">
        <v>17</v>
      </c>
      <c r="H961" s="5" t="s">
        <v>18</v>
      </c>
      <c r="I961" s="2"/>
      <c r="J961" s="2"/>
      <c r="K961" s="2" t="s">
        <v>19</v>
      </c>
      <c r="L961" s="2"/>
    </row>
    <row r="962" spans="1:12" ht="65" x14ac:dyDescent="0.2">
      <c r="A962" s="2" t="s">
        <v>2088</v>
      </c>
      <c r="B962" s="2" t="s">
        <v>2128</v>
      </c>
      <c r="C962" s="2" t="s">
        <v>2131</v>
      </c>
      <c r="D962" s="2" t="s">
        <v>2132</v>
      </c>
      <c r="E962" s="3" t="s">
        <v>16</v>
      </c>
      <c r="F962" s="4" t="s">
        <v>17</v>
      </c>
      <c r="G962" s="2" t="s">
        <v>17</v>
      </c>
      <c r="H962" s="5" t="s">
        <v>18</v>
      </c>
      <c r="I962" s="2"/>
      <c r="J962" s="2"/>
      <c r="K962" s="2" t="s">
        <v>19</v>
      </c>
      <c r="L962" s="2"/>
    </row>
    <row r="963" spans="1:12" ht="39" x14ac:dyDescent="0.2">
      <c r="A963" s="2" t="s">
        <v>2088</v>
      </c>
      <c r="B963" s="2" t="s">
        <v>2128</v>
      </c>
      <c r="C963" s="2" t="s">
        <v>2133</v>
      </c>
      <c r="D963" s="2" t="s">
        <v>2134</v>
      </c>
      <c r="E963" s="3" t="s">
        <v>16</v>
      </c>
      <c r="F963" s="4" t="s">
        <v>17</v>
      </c>
      <c r="G963" s="2" t="s">
        <v>17</v>
      </c>
      <c r="H963" s="5" t="s">
        <v>18</v>
      </c>
      <c r="I963" s="2"/>
      <c r="J963" s="2"/>
      <c r="K963" s="2" t="s">
        <v>19</v>
      </c>
      <c r="L963" s="2"/>
    </row>
    <row r="964" spans="1:12" ht="39" x14ac:dyDescent="0.2">
      <c r="A964" s="2" t="s">
        <v>2088</v>
      </c>
      <c r="B964" s="2" t="s">
        <v>2128</v>
      </c>
      <c r="C964" s="2" t="s">
        <v>2135</v>
      </c>
      <c r="D964" s="2" t="s">
        <v>2136</v>
      </c>
      <c r="E964" s="3" t="s">
        <v>16</v>
      </c>
      <c r="F964" s="4" t="s">
        <v>17</v>
      </c>
      <c r="G964" s="2" t="s">
        <v>17</v>
      </c>
      <c r="H964" s="5" t="s">
        <v>18</v>
      </c>
      <c r="I964" s="2"/>
      <c r="J964" s="2"/>
      <c r="K964" s="2" t="s">
        <v>19</v>
      </c>
      <c r="L964" s="2"/>
    </row>
    <row r="965" spans="1:12" ht="39" x14ac:dyDescent="0.2">
      <c r="A965" s="2" t="s">
        <v>2088</v>
      </c>
      <c r="B965" s="2" t="s">
        <v>2137</v>
      </c>
      <c r="C965" s="2" t="s">
        <v>2138</v>
      </c>
      <c r="D965" s="2" t="s">
        <v>2139</v>
      </c>
      <c r="E965" s="3" t="s">
        <v>16</v>
      </c>
      <c r="F965" s="4" t="s">
        <v>17</v>
      </c>
      <c r="G965" s="2" t="s">
        <v>17</v>
      </c>
      <c r="H965" s="5" t="s">
        <v>18</v>
      </c>
      <c r="I965" s="2"/>
      <c r="J965" s="2"/>
      <c r="K965" s="2" t="s">
        <v>19</v>
      </c>
      <c r="L965" s="2"/>
    </row>
    <row r="966" spans="1:12" ht="39" x14ac:dyDescent="0.2">
      <c r="A966" s="2" t="s">
        <v>2088</v>
      </c>
      <c r="B966" s="2" t="s">
        <v>2137</v>
      </c>
      <c r="C966" s="2" t="s">
        <v>2140</v>
      </c>
      <c r="D966" s="2" t="s">
        <v>2141</v>
      </c>
      <c r="E966" s="3" t="s">
        <v>16</v>
      </c>
      <c r="F966" s="4" t="s">
        <v>17</v>
      </c>
      <c r="G966" s="2" t="s">
        <v>17</v>
      </c>
      <c r="H966" s="5" t="s">
        <v>18</v>
      </c>
      <c r="I966" s="2"/>
      <c r="J966" s="2"/>
      <c r="K966" s="2" t="s">
        <v>19</v>
      </c>
      <c r="L966" s="2"/>
    </row>
    <row r="967" spans="1:12" ht="26" x14ac:dyDescent="0.2">
      <c r="A967" s="2" t="s">
        <v>2088</v>
      </c>
      <c r="B967" s="2" t="s">
        <v>2137</v>
      </c>
      <c r="C967" s="2" t="s">
        <v>2142</v>
      </c>
      <c r="D967" s="2" t="s">
        <v>2143</v>
      </c>
      <c r="E967" s="3" t="s">
        <v>16</v>
      </c>
      <c r="F967" s="4" t="s">
        <v>17</v>
      </c>
      <c r="G967" s="2" t="s">
        <v>17</v>
      </c>
      <c r="H967" s="5" t="s">
        <v>18</v>
      </c>
      <c r="I967" s="2"/>
      <c r="J967" s="2"/>
      <c r="K967" s="2" t="s">
        <v>19</v>
      </c>
      <c r="L967" s="2"/>
    </row>
    <row r="968" spans="1:12" ht="39" x14ac:dyDescent="0.2">
      <c r="A968" s="2" t="s">
        <v>2088</v>
      </c>
      <c r="B968" s="2" t="s">
        <v>2137</v>
      </c>
      <c r="C968" s="2" t="s">
        <v>2144</v>
      </c>
      <c r="D968" s="2" t="s">
        <v>2145</v>
      </c>
      <c r="E968" s="3" t="s">
        <v>16</v>
      </c>
      <c r="F968" s="4" t="s">
        <v>17</v>
      </c>
      <c r="G968" s="2" t="s">
        <v>17</v>
      </c>
      <c r="H968" s="5" t="s">
        <v>18</v>
      </c>
      <c r="I968" s="2"/>
      <c r="J968" s="2"/>
      <c r="K968" s="2" t="s">
        <v>19</v>
      </c>
      <c r="L968" s="2"/>
    </row>
    <row r="969" spans="1:12" ht="39" x14ac:dyDescent="0.2">
      <c r="A969" s="2" t="s">
        <v>2088</v>
      </c>
      <c r="B969" s="2" t="s">
        <v>2146</v>
      </c>
      <c r="C969" s="2" t="s">
        <v>2147</v>
      </c>
      <c r="D969" s="2" t="s">
        <v>2148</v>
      </c>
      <c r="E969" s="3" t="s">
        <v>16</v>
      </c>
      <c r="F969" s="4" t="s">
        <v>17</v>
      </c>
      <c r="G969" s="2" t="s">
        <v>17</v>
      </c>
      <c r="H969" s="5" t="s">
        <v>18</v>
      </c>
      <c r="I969" s="2"/>
      <c r="J969" s="2"/>
      <c r="K969" s="2" t="s">
        <v>19</v>
      </c>
      <c r="L969" s="2"/>
    </row>
    <row r="970" spans="1:12" ht="26" x14ac:dyDescent="0.2">
      <c r="A970" s="2" t="s">
        <v>2088</v>
      </c>
      <c r="B970" s="2" t="s">
        <v>2146</v>
      </c>
      <c r="C970" s="2" t="s">
        <v>2149</v>
      </c>
      <c r="D970" s="2" t="s">
        <v>2150</v>
      </c>
      <c r="E970" s="3" t="s">
        <v>16</v>
      </c>
      <c r="F970" s="4" t="s">
        <v>17</v>
      </c>
      <c r="G970" s="2" t="s">
        <v>17</v>
      </c>
      <c r="H970" s="5" t="s">
        <v>18</v>
      </c>
      <c r="I970" s="2"/>
      <c r="J970" s="2"/>
      <c r="K970" s="2" t="s">
        <v>19</v>
      </c>
      <c r="L970" s="2"/>
    </row>
    <row r="971" spans="1:12" ht="39" x14ac:dyDescent="0.2">
      <c r="A971" s="2" t="s">
        <v>2088</v>
      </c>
      <c r="B971" s="2" t="s">
        <v>2146</v>
      </c>
      <c r="C971" s="2" t="s">
        <v>2151</v>
      </c>
      <c r="D971" s="2" t="s">
        <v>2152</v>
      </c>
      <c r="E971" s="3" t="s">
        <v>16</v>
      </c>
      <c r="F971" s="4" t="s">
        <v>17</v>
      </c>
      <c r="G971" s="2" t="s">
        <v>17</v>
      </c>
      <c r="H971" s="5" t="s">
        <v>18</v>
      </c>
      <c r="I971" s="2"/>
      <c r="J971" s="2"/>
      <c r="K971" s="2" t="s">
        <v>19</v>
      </c>
      <c r="L971" s="2"/>
    </row>
    <row r="972" spans="1:12" ht="39" x14ac:dyDescent="0.2">
      <c r="A972" s="2" t="s">
        <v>2088</v>
      </c>
      <c r="B972" s="2" t="s">
        <v>2146</v>
      </c>
      <c r="C972" s="2" t="s">
        <v>2153</v>
      </c>
      <c r="D972" s="2" t="s">
        <v>2154</v>
      </c>
      <c r="E972" s="3" t="s">
        <v>16</v>
      </c>
      <c r="F972" s="4" t="s">
        <v>17</v>
      </c>
      <c r="G972" s="2" t="s">
        <v>17</v>
      </c>
      <c r="H972" s="5" t="s">
        <v>18</v>
      </c>
      <c r="I972" s="2"/>
      <c r="J972" s="2"/>
      <c r="K972" s="2" t="s">
        <v>19</v>
      </c>
      <c r="L972" s="2"/>
    </row>
    <row r="973" spans="1:12" ht="39" x14ac:dyDescent="0.2">
      <c r="A973" s="2" t="s">
        <v>2088</v>
      </c>
      <c r="B973" s="2" t="s">
        <v>2146</v>
      </c>
      <c r="C973" s="2" t="s">
        <v>2155</v>
      </c>
      <c r="D973" s="2" t="s">
        <v>2156</v>
      </c>
      <c r="E973" s="3" t="s">
        <v>16</v>
      </c>
      <c r="F973" s="4" t="s">
        <v>17</v>
      </c>
      <c r="G973" s="2" t="s">
        <v>17</v>
      </c>
      <c r="H973" s="5" t="s">
        <v>18</v>
      </c>
      <c r="I973" s="2"/>
      <c r="J973" s="2"/>
      <c r="K973" s="2" t="s">
        <v>19</v>
      </c>
      <c r="L973" s="2"/>
    </row>
    <row r="974" spans="1:12" ht="39" x14ac:dyDescent="0.2">
      <c r="A974" s="2" t="s">
        <v>2088</v>
      </c>
      <c r="B974" s="2" t="s">
        <v>2146</v>
      </c>
      <c r="C974" s="2" t="s">
        <v>2157</v>
      </c>
      <c r="D974" s="2" t="s">
        <v>2158</v>
      </c>
      <c r="E974" s="3" t="s">
        <v>16</v>
      </c>
      <c r="F974" s="4" t="s">
        <v>17</v>
      </c>
      <c r="G974" s="2" t="s">
        <v>17</v>
      </c>
      <c r="H974" s="5" t="s">
        <v>18</v>
      </c>
      <c r="I974" s="2"/>
      <c r="J974" s="2"/>
      <c r="K974" s="2" t="s">
        <v>19</v>
      </c>
      <c r="L974" s="2"/>
    </row>
    <row r="975" spans="1:12" ht="26" x14ac:dyDescent="0.2">
      <c r="A975" s="2" t="s">
        <v>2088</v>
      </c>
      <c r="B975" s="2" t="s">
        <v>2146</v>
      </c>
      <c r="C975" s="2" t="s">
        <v>2159</v>
      </c>
      <c r="D975" s="2" t="s">
        <v>2160</v>
      </c>
      <c r="E975" s="3" t="s">
        <v>16</v>
      </c>
      <c r="F975" s="4" t="s">
        <v>17</v>
      </c>
      <c r="G975" s="2" t="s">
        <v>17</v>
      </c>
      <c r="H975" s="5" t="s">
        <v>18</v>
      </c>
      <c r="I975" s="2"/>
      <c r="J975" s="2"/>
      <c r="K975" s="2" t="s">
        <v>19</v>
      </c>
      <c r="L975" s="2"/>
    </row>
    <row r="976" spans="1:12" ht="39" x14ac:dyDescent="0.2">
      <c r="A976" s="2" t="s">
        <v>2088</v>
      </c>
      <c r="B976" s="2" t="s">
        <v>2146</v>
      </c>
      <c r="C976" s="2" t="s">
        <v>2161</v>
      </c>
      <c r="D976" s="2" t="s">
        <v>2162</v>
      </c>
      <c r="E976" s="3" t="s">
        <v>16</v>
      </c>
      <c r="F976" s="4" t="s">
        <v>17</v>
      </c>
      <c r="G976" s="2" t="s">
        <v>17</v>
      </c>
      <c r="H976" s="5" t="s">
        <v>18</v>
      </c>
      <c r="I976" s="2"/>
      <c r="J976" s="2"/>
      <c r="K976" s="2" t="s">
        <v>19</v>
      </c>
      <c r="L976" s="2"/>
    </row>
    <row r="977" spans="1:12" ht="39" x14ac:dyDescent="0.2">
      <c r="A977" s="2" t="s">
        <v>2088</v>
      </c>
      <c r="B977" s="2" t="s">
        <v>2146</v>
      </c>
      <c r="C977" s="2" t="s">
        <v>2163</v>
      </c>
      <c r="D977" s="2" t="s">
        <v>2164</v>
      </c>
      <c r="E977" s="3" t="s">
        <v>16</v>
      </c>
      <c r="F977" s="4" t="s">
        <v>17</v>
      </c>
      <c r="G977" s="2" t="s">
        <v>17</v>
      </c>
      <c r="H977" s="5" t="s">
        <v>18</v>
      </c>
      <c r="I977" s="2"/>
      <c r="J977" s="2"/>
      <c r="K977" s="2" t="s">
        <v>19</v>
      </c>
      <c r="L977" s="2"/>
    </row>
    <row r="978" spans="1:12" ht="52" x14ac:dyDescent="0.2">
      <c r="A978" s="2" t="s">
        <v>2088</v>
      </c>
      <c r="B978" s="2" t="s">
        <v>2146</v>
      </c>
      <c r="C978" s="2" t="s">
        <v>2165</v>
      </c>
      <c r="D978" s="2" t="s">
        <v>2166</v>
      </c>
      <c r="E978" s="3" t="s">
        <v>16</v>
      </c>
      <c r="F978" s="4" t="s">
        <v>17</v>
      </c>
      <c r="G978" s="2" t="s">
        <v>17</v>
      </c>
      <c r="H978" s="5" t="s">
        <v>18</v>
      </c>
      <c r="I978" s="2"/>
      <c r="J978" s="2"/>
      <c r="K978" s="2" t="s">
        <v>19</v>
      </c>
      <c r="L978" s="2"/>
    </row>
    <row r="979" spans="1:12" ht="26" x14ac:dyDescent="0.2">
      <c r="A979" s="2" t="s">
        <v>2088</v>
      </c>
      <c r="B979" s="2" t="s">
        <v>2146</v>
      </c>
      <c r="C979" s="2" t="s">
        <v>2167</v>
      </c>
      <c r="D979" s="2" t="s">
        <v>2168</v>
      </c>
      <c r="E979" s="3" t="s">
        <v>16</v>
      </c>
      <c r="F979" s="4" t="s">
        <v>17</v>
      </c>
      <c r="G979" s="2" t="s">
        <v>17</v>
      </c>
      <c r="H979" s="5" t="s">
        <v>18</v>
      </c>
      <c r="I979" s="2"/>
      <c r="J979" s="2"/>
      <c r="K979" s="2" t="s">
        <v>19</v>
      </c>
      <c r="L979" s="2"/>
    </row>
    <row r="980" spans="1:12" ht="39" x14ac:dyDescent="0.2">
      <c r="A980" s="2" t="s">
        <v>2088</v>
      </c>
      <c r="B980" s="2" t="s">
        <v>2146</v>
      </c>
      <c r="C980" s="2" t="s">
        <v>2169</v>
      </c>
      <c r="D980" s="2" t="s">
        <v>2170</v>
      </c>
      <c r="E980" s="3" t="s">
        <v>16</v>
      </c>
      <c r="F980" s="4" t="s">
        <v>17</v>
      </c>
      <c r="G980" s="2" t="s">
        <v>17</v>
      </c>
      <c r="H980" s="5" t="s">
        <v>18</v>
      </c>
      <c r="I980" s="2"/>
      <c r="J980" s="2"/>
      <c r="K980" s="2" t="s">
        <v>19</v>
      </c>
      <c r="L980" s="2"/>
    </row>
    <row r="981" spans="1:12" ht="52" x14ac:dyDescent="0.2">
      <c r="A981" s="2" t="s">
        <v>2088</v>
      </c>
      <c r="B981" s="2" t="s">
        <v>2171</v>
      </c>
      <c r="C981" s="2" t="s">
        <v>2172</v>
      </c>
      <c r="D981" s="2" t="s">
        <v>2173</v>
      </c>
      <c r="E981" s="3" t="s">
        <v>16</v>
      </c>
      <c r="F981" s="4" t="s">
        <v>17</v>
      </c>
      <c r="G981" s="2" t="s">
        <v>17</v>
      </c>
      <c r="H981" s="5" t="s">
        <v>18</v>
      </c>
      <c r="I981" s="2"/>
      <c r="J981" s="2"/>
      <c r="K981" s="2" t="s">
        <v>19</v>
      </c>
      <c r="L981" s="2"/>
    </row>
    <row r="982" spans="1:12" ht="26" x14ac:dyDescent="0.2">
      <c r="A982" s="2" t="s">
        <v>2088</v>
      </c>
      <c r="B982" s="2" t="s">
        <v>2171</v>
      </c>
      <c r="C982" s="2" t="s">
        <v>2174</v>
      </c>
      <c r="D982" s="2" t="s">
        <v>2175</v>
      </c>
      <c r="E982" s="3" t="s">
        <v>16</v>
      </c>
      <c r="F982" s="4" t="s">
        <v>17</v>
      </c>
      <c r="G982" s="2" t="s">
        <v>17</v>
      </c>
      <c r="H982" s="5" t="s">
        <v>18</v>
      </c>
      <c r="I982" s="2"/>
      <c r="J982" s="2"/>
      <c r="K982" s="2" t="s">
        <v>19</v>
      </c>
      <c r="L982" s="2"/>
    </row>
    <row r="983" spans="1:12" ht="52" x14ac:dyDescent="0.2">
      <c r="A983" s="2" t="s">
        <v>2088</v>
      </c>
      <c r="B983" s="2" t="s">
        <v>2171</v>
      </c>
      <c r="C983" s="2" t="s">
        <v>2176</v>
      </c>
      <c r="D983" s="2" t="s">
        <v>2177</v>
      </c>
      <c r="E983" s="3" t="s">
        <v>16</v>
      </c>
      <c r="F983" s="4" t="s">
        <v>17</v>
      </c>
      <c r="G983" s="2" t="s">
        <v>17</v>
      </c>
      <c r="H983" s="5" t="s">
        <v>18</v>
      </c>
      <c r="I983" s="2"/>
      <c r="J983" s="2"/>
      <c r="K983" s="2" t="s">
        <v>19</v>
      </c>
      <c r="L983" s="2"/>
    </row>
    <row r="984" spans="1:12" ht="39" x14ac:dyDescent="0.2">
      <c r="A984" s="2" t="s">
        <v>2088</v>
      </c>
      <c r="B984" s="2" t="s">
        <v>2171</v>
      </c>
      <c r="C984" s="2" t="s">
        <v>2178</v>
      </c>
      <c r="D984" s="2" t="s">
        <v>2179</v>
      </c>
      <c r="E984" s="3" t="s">
        <v>16</v>
      </c>
      <c r="F984" s="4" t="s">
        <v>17</v>
      </c>
      <c r="G984" s="2" t="s">
        <v>17</v>
      </c>
      <c r="H984" s="5" t="s">
        <v>18</v>
      </c>
      <c r="I984" s="2"/>
      <c r="J984" s="2"/>
      <c r="K984" s="2" t="s">
        <v>19</v>
      </c>
      <c r="L984" s="2"/>
    </row>
    <row r="985" spans="1:12" ht="39" x14ac:dyDescent="0.2">
      <c r="A985" s="2" t="s">
        <v>2088</v>
      </c>
      <c r="B985" s="2" t="s">
        <v>2171</v>
      </c>
      <c r="C985" s="2" t="s">
        <v>2180</v>
      </c>
      <c r="D985" s="2" t="s">
        <v>2181</v>
      </c>
      <c r="E985" s="3" t="s">
        <v>16</v>
      </c>
      <c r="F985" s="4" t="s">
        <v>17</v>
      </c>
      <c r="G985" s="2" t="s">
        <v>17</v>
      </c>
      <c r="H985" s="5" t="s">
        <v>18</v>
      </c>
      <c r="I985" s="2"/>
      <c r="J985" s="2"/>
      <c r="K985" s="2" t="s">
        <v>19</v>
      </c>
      <c r="L985" s="2"/>
    </row>
    <row r="986" spans="1:12" ht="39" x14ac:dyDescent="0.2">
      <c r="A986" s="2" t="s">
        <v>2088</v>
      </c>
      <c r="B986" s="2" t="s">
        <v>2171</v>
      </c>
      <c r="C986" s="2" t="s">
        <v>2182</v>
      </c>
      <c r="D986" s="2" t="s">
        <v>2183</v>
      </c>
      <c r="E986" s="3" t="s">
        <v>16</v>
      </c>
      <c r="F986" s="4" t="s">
        <v>17</v>
      </c>
      <c r="G986" s="2" t="s">
        <v>17</v>
      </c>
      <c r="H986" s="5" t="s">
        <v>18</v>
      </c>
      <c r="I986" s="2"/>
      <c r="J986" s="2"/>
      <c r="K986" s="2" t="s">
        <v>19</v>
      </c>
      <c r="L986" s="2"/>
    </row>
    <row r="987" spans="1:12" ht="39" x14ac:dyDescent="0.2">
      <c r="A987" s="2" t="s">
        <v>2088</v>
      </c>
      <c r="B987" s="2" t="s">
        <v>2184</v>
      </c>
      <c r="C987" s="2" t="s">
        <v>2185</v>
      </c>
      <c r="D987" s="2" t="s">
        <v>2186</v>
      </c>
      <c r="E987" s="3" t="s">
        <v>16</v>
      </c>
      <c r="F987" s="4" t="s">
        <v>17</v>
      </c>
      <c r="G987" s="2" t="s">
        <v>17</v>
      </c>
      <c r="H987" s="5" t="s">
        <v>18</v>
      </c>
      <c r="I987" s="2"/>
      <c r="J987" s="2"/>
      <c r="K987" s="2" t="s">
        <v>19</v>
      </c>
      <c r="L987" s="2"/>
    </row>
    <row r="988" spans="1:12" ht="39" x14ac:dyDescent="0.2">
      <c r="A988" s="2" t="s">
        <v>2088</v>
      </c>
      <c r="B988" s="2" t="s">
        <v>2184</v>
      </c>
      <c r="C988" s="2" t="s">
        <v>2187</v>
      </c>
      <c r="D988" s="2" t="s">
        <v>2188</v>
      </c>
      <c r="E988" s="3" t="s">
        <v>16</v>
      </c>
      <c r="F988" s="4" t="s">
        <v>17</v>
      </c>
      <c r="G988" s="2" t="s">
        <v>17</v>
      </c>
      <c r="H988" s="5" t="s">
        <v>18</v>
      </c>
      <c r="I988" s="2"/>
      <c r="J988" s="2"/>
      <c r="K988" s="2" t="s">
        <v>19</v>
      </c>
      <c r="L988" s="2"/>
    </row>
    <row r="989" spans="1:12" ht="52" x14ac:dyDescent="0.2">
      <c r="A989" s="2" t="s">
        <v>2088</v>
      </c>
      <c r="B989" s="2" t="s">
        <v>2184</v>
      </c>
      <c r="C989" s="2" t="s">
        <v>2189</v>
      </c>
      <c r="D989" s="2" t="s">
        <v>2190</v>
      </c>
      <c r="E989" s="3" t="s">
        <v>16</v>
      </c>
      <c r="F989" s="4" t="s">
        <v>17</v>
      </c>
      <c r="G989" s="2" t="s">
        <v>17</v>
      </c>
      <c r="H989" s="5" t="s">
        <v>18</v>
      </c>
      <c r="I989" s="2"/>
      <c r="J989" s="2"/>
      <c r="K989" s="2" t="s">
        <v>19</v>
      </c>
      <c r="L989" s="2"/>
    </row>
    <row r="990" spans="1:12" ht="39" x14ac:dyDescent="0.2">
      <c r="A990" s="2" t="s">
        <v>2088</v>
      </c>
      <c r="B990" s="2" t="s">
        <v>2184</v>
      </c>
      <c r="C990" s="2" t="s">
        <v>2191</v>
      </c>
      <c r="D990" s="2" t="s">
        <v>2192</v>
      </c>
      <c r="E990" s="3" t="s">
        <v>16</v>
      </c>
      <c r="F990" s="4" t="s">
        <v>17</v>
      </c>
      <c r="G990" s="2" t="s">
        <v>17</v>
      </c>
      <c r="H990" s="5" t="s">
        <v>18</v>
      </c>
      <c r="I990" s="2"/>
      <c r="J990" s="2"/>
      <c r="K990" s="2" t="s">
        <v>19</v>
      </c>
      <c r="L990" s="2"/>
    </row>
    <row r="991" spans="1:12" ht="52" x14ac:dyDescent="0.2">
      <c r="A991" s="2" t="s">
        <v>2088</v>
      </c>
      <c r="B991" s="2" t="s">
        <v>2184</v>
      </c>
      <c r="C991" s="2" t="s">
        <v>2193</v>
      </c>
      <c r="D991" s="2" t="s">
        <v>2194</v>
      </c>
      <c r="E991" s="3" t="s">
        <v>16</v>
      </c>
      <c r="F991" s="4" t="s">
        <v>17</v>
      </c>
      <c r="G991" s="2" t="s">
        <v>17</v>
      </c>
      <c r="H991" s="5" t="s">
        <v>18</v>
      </c>
      <c r="I991" s="2"/>
      <c r="J991" s="2"/>
      <c r="K991" s="2" t="s">
        <v>19</v>
      </c>
      <c r="L991" s="2"/>
    </row>
    <row r="992" spans="1:12" ht="91" x14ac:dyDescent="0.2">
      <c r="A992" s="2" t="s">
        <v>2088</v>
      </c>
      <c r="B992" s="2" t="s">
        <v>2195</v>
      </c>
      <c r="C992" s="2" t="s">
        <v>2196</v>
      </c>
      <c r="D992" s="2" t="s">
        <v>2197</v>
      </c>
      <c r="E992" s="3" t="s">
        <v>16</v>
      </c>
      <c r="F992" s="4" t="s">
        <v>17</v>
      </c>
      <c r="G992" s="2" t="s">
        <v>17</v>
      </c>
      <c r="H992" s="5" t="s">
        <v>18</v>
      </c>
      <c r="I992" s="2"/>
      <c r="J992" s="2"/>
      <c r="K992" s="2" t="s">
        <v>19</v>
      </c>
      <c r="L992" s="2"/>
    </row>
    <row r="993" spans="1:12" ht="52" x14ac:dyDescent="0.2">
      <c r="A993" s="2" t="s">
        <v>2088</v>
      </c>
      <c r="B993" s="2" t="s">
        <v>2195</v>
      </c>
      <c r="C993" s="2" t="s">
        <v>2198</v>
      </c>
      <c r="D993" s="2" t="s">
        <v>2199</v>
      </c>
      <c r="E993" s="3" t="s">
        <v>16</v>
      </c>
      <c r="F993" s="4" t="s">
        <v>17</v>
      </c>
      <c r="G993" s="2" t="s">
        <v>17</v>
      </c>
      <c r="H993" s="5" t="s">
        <v>18</v>
      </c>
      <c r="I993" s="2"/>
      <c r="J993" s="2"/>
      <c r="K993" s="2" t="s">
        <v>19</v>
      </c>
      <c r="L993" s="2"/>
    </row>
    <row r="994" spans="1:12" ht="39" x14ac:dyDescent="0.2">
      <c r="A994" s="2" t="s">
        <v>2088</v>
      </c>
      <c r="B994" s="2" t="s">
        <v>2195</v>
      </c>
      <c r="C994" s="2" t="s">
        <v>2200</v>
      </c>
      <c r="D994" s="2" t="s">
        <v>2201</v>
      </c>
      <c r="E994" s="3" t="s">
        <v>16</v>
      </c>
      <c r="F994" s="4" t="s">
        <v>17</v>
      </c>
      <c r="G994" s="2" t="s">
        <v>17</v>
      </c>
      <c r="H994" s="5" t="s">
        <v>18</v>
      </c>
      <c r="I994" s="2"/>
      <c r="J994" s="2"/>
      <c r="K994" s="2" t="s">
        <v>19</v>
      </c>
      <c r="L994" s="2"/>
    </row>
    <row r="995" spans="1:12" ht="39" x14ac:dyDescent="0.2">
      <c r="A995" s="2" t="s">
        <v>2088</v>
      </c>
      <c r="B995" s="2" t="s">
        <v>2195</v>
      </c>
      <c r="C995" s="2" t="s">
        <v>2202</v>
      </c>
      <c r="D995" s="2" t="s">
        <v>2203</v>
      </c>
      <c r="E995" s="3" t="s">
        <v>16</v>
      </c>
      <c r="F995" s="4" t="s">
        <v>17</v>
      </c>
      <c r="G995" s="2" t="s">
        <v>17</v>
      </c>
      <c r="H995" s="5" t="s">
        <v>18</v>
      </c>
      <c r="I995" s="2"/>
      <c r="J995" s="2"/>
      <c r="K995" s="2" t="s">
        <v>19</v>
      </c>
      <c r="L995" s="2"/>
    </row>
    <row r="996" spans="1:12" ht="39" x14ac:dyDescent="0.2">
      <c r="A996" s="2" t="s">
        <v>2088</v>
      </c>
      <c r="B996" s="2" t="s">
        <v>2204</v>
      </c>
      <c r="C996" s="2" t="s">
        <v>2205</v>
      </c>
      <c r="D996" s="2" t="s">
        <v>2206</v>
      </c>
      <c r="E996" s="3" t="s">
        <v>16</v>
      </c>
      <c r="F996" s="4" t="s">
        <v>17</v>
      </c>
      <c r="G996" s="2" t="s">
        <v>17</v>
      </c>
      <c r="H996" s="5" t="s">
        <v>18</v>
      </c>
      <c r="I996" s="2"/>
      <c r="J996" s="2"/>
      <c r="K996" s="2" t="s">
        <v>19</v>
      </c>
      <c r="L996" s="2"/>
    </row>
    <row r="997" spans="1:12" ht="39" x14ac:dyDescent="0.2">
      <c r="A997" s="2" t="s">
        <v>2088</v>
      </c>
      <c r="B997" s="2" t="s">
        <v>2204</v>
      </c>
      <c r="C997" s="2" t="s">
        <v>2207</v>
      </c>
      <c r="D997" s="2" t="s">
        <v>2208</v>
      </c>
      <c r="E997" s="3" t="s">
        <v>16</v>
      </c>
      <c r="F997" s="4" t="s">
        <v>17</v>
      </c>
      <c r="G997" s="2" t="s">
        <v>17</v>
      </c>
      <c r="H997" s="5" t="s">
        <v>18</v>
      </c>
      <c r="I997" s="2"/>
      <c r="J997" s="2"/>
      <c r="K997" s="2" t="s">
        <v>19</v>
      </c>
      <c r="L997" s="2"/>
    </row>
    <row r="998" spans="1:12" ht="39" x14ac:dyDescent="0.2">
      <c r="A998" s="2" t="s">
        <v>2088</v>
      </c>
      <c r="B998" s="2" t="s">
        <v>2204</v>
      </c>
      <c r="C998" s="2" t="s">
        <v>2209</v>
      </c>
      <c r="D998" s="2" t="s">
        <v>2210</v>
      </c>
      <c r="E998" s="3" t="s">
        <v>16</v>
      </c>
      <c r="F998" s="4" t="s">
        <v>17</v>
      </c>
      <c r="G998" s="2" t="s">
        <v>17</v>
      </c>
      <c r="H998" s="5" t="s">
        <v>18</v>
      </c>
      <c r="I998" s="2"/>
      <c r="J998" s="2"/>
      <c r="K998" s="2" t="s">
        <v>19</v>
      </c>
      <c r="L998" s="2"/>
    </row>
    <row r="999" spans="1:12" ht="130" x14ac:dyDescent="0.2">
      <c r="A999" s="2" t="s">
        <v>2088</v>
      </c>
      <c r="B999" s="2" t="s">
        <v>2211</v>
      </c>
      <c r="C999" s="2" t="s">
        <v>2212</v>
      </c>
      <c r="D999" s="2" t="s">
        <v>2213</v>
      </c>
      <c r="E999" s="3" t="s">
        <v>16</v>
      </c>
      <c r="F999" s="4" t="s">
        <v>17</v>
      </c>
      <c r="G999" s="2" t="s">
        <v>17</v>
      </c>
      <c r="H999" s="5" t="s">
        <v>18</v>
      </c>
      <c r="I999" s="2"/>
      <c r="J999" s="2"/>
      <c r="K999" s="2" t="s">
        <v>19</v>
      </c>
      <c r="L999" s="2"/>
    </row>
    <row r="1000" spans="1:12" ht="39" x14ac:dyDescent="0.2">
      <c r="A1000" s="2" t="s">
        <v>2088</v>
      </c>
      <c r="B1000" s="2" t="s">
        <v>2211</v>
      </c>
      <c r="C1000" s="2" t="s">
        <v>2214</v>
      </c>
      <c r="D1000" s="2" t="s">
        <v>2215</v>
      </c>
      <c r="E1000" s="3" t="s">
        <v>16</v>
      </c>
      <c r="F1000" s="4" t="s">
        <v>17</v>
      </c>
      <c r="G1000" s="2" t="s">
        <v>17</v>
      </c>
      <c r="H1000" s="5" t="s">
        <v>18</v>
      </c>
      <c r="I1000" s="2"/>
      <c r="J1000" s="2"/>
      <c r="K1000" s="2" t="s">
        <v>19</v>
      </c>
      <c r="L1000" s="2"/>
    </row>
    <row r="1001" spans="1:12" ht="39" x14ac:dyDescent="0.2">
      <c r="A1001" s="2" t="s">
        <v>2088</v>
      </c>
      <c r="B1001" s="2" t="s">
        <v>2211</v>
      </c>
      <c r="C1001" s="2" t="s">
        <v>2216</v>
      </c>
      <c r="D1001" s="2" t="s">
        <v>2217</v>
      </c>
      <c r="E1001" s="3" t="s">
        <v>16</v>
      </c>
      <c r="F1001" s="4" t="s">
        <v>17</v>
      </c>
      <c r="G1001" s="2" t="s">
        <v>17</v>
      </c>
      <c r="H1001" s="5" t="s">
        <v>18</v>
      </c>
      <c r="I1001" s="2"/>
      <c r="J1001" s="2"/>
      <c r="K1001" s="2" t="s">
        <v>19</v>
      </c>
      <c r="L1001" s="2"/>
    </row>
    <row r="1002" spans="1:12" ht="91" x14ac:dyDescent="0.2">
      <c r="A1002" s="2" t="s">
        <v>2088</v>
      </c>
      <c r="B1002" s="2" t="s">
        <v>2218</v>
      </c>
      <c r="C1002" s="2" t="s">
        <v>2219</v>
      </c>
      <c r="D1002" s="2" t="s">
        <v>2220</v>
      </c>
      <c r="E1002" s="3" t="s">
        <v>16</v>
      </c>
      <c r="F1002" s="4" t="s">
        <v>17</v>
      </c>
      <c r="G1002" s="2" t="s">
        <v>17</v>
      </c>
      <c r="H1002" s="5" t="s">
        <v>18</v>
      </c>
      <c r="I1002" s="2"/>
      <c r="J1002" s="2"/>
      <c r="K1002" s="2" t="s">
        <v>19</v>
      </c>
      <c r="L1002" s="2"/>
    </row>
    <row r="1003" spans="1:12" ht="52" x14ac:dyDescent="0.2">
      <c r="A1003" s="2" t="s">
        <v>2088</v>
      </c>
      <c r="B1003" s="2" t="s">
        <v>2218</v>
      </c>
      <c r="C1003" s="2" t="s">
        <v>2221</v>
      </c>
      <c r="D1003" s="2" t="s">
        <v>2222</v>
      </c>
      <c r="E1003" s="3" t="s">
        <v>16</v>
      </c>
      <c r="F1003" s="4" t="s">
        <v>17</v>
      </c>
      <c r="G1003" s="2" t="s">
        <v>17</v>
      </c>
      <c r="H1003" s="5" t="s">
        <v>18</v>
      </c>
      <c r="I1003" s="2"/>
      <c r="J1003" s="2"/>
      <c r="K1003" s="2" t="s">
        <v>19</v>
      </c>
      <c r="L1003" s="2"/>
    </row>
    <row r="1004" spans="1:12" ht="52" x14ac:dyDescent="0.2">
      <c r="A1004" s="2" t="s">
        <v>2088</v>
      </c>
      <c r="B1004" s="2" t="s">
        <v>2218</v>
      </c>
      <c r="C1004" s="2" t="s">
        <v>2223</v>
      </c>
      <c r="D1004" s="2" t="s">
        <v>2224</v>
      </c>
      <c r="E1004" s="3" t="s">
        <v>16</v>
      </c>
      <c r="F1004" s="4" t="s">
        <v>17</v>
      </c>
      <c r="G1004" s="2" t="s">
        <v>17</v>
      </c>
      <c r="H1004" s="5" t="s">
        <v>18</v>
      </c>
      <c r="I1004" s="2"/>
      <c r="J1004" s="2"/>
      <c r="K1004" s="2" t="s">
        <v>19</v>
      </c>
      <c r="L1004" s="2"/>
    </row>
    <row r="1005" spans="1:12" ht="39" x14ac:dyDescent="0.2">
      <c r="A1005" s="2" t="s">
        <v>2088</v>
      </c>
      <c r="B1005" s="2" t="s">
        <v>2218</v>
      </c>
      <c r="C1005" s="2" t="s">
        <v>2225</v>
      </c>
      <c r="D1005" s="2" t="s">
        <v>2226</v>
      </c>
      <c r="E1005" s="3" t="s">
        <v>16</v>
      </c>
      <c r="F1005" s="4" t="s">
        <v>17</v>
      </c>
      <c r="G1005" s="2" t="s">
        <v>17</v>
      </c>
      <c r="H1005" s="5" t="s">
        <v>18</v>
      </c>
      <c r="I1005" s="2"/>
      <c r="J1005" s="2"/>
      <c r="K1005" s="2" t="s">
        <v>19</v>
      </c>
      <c r="L1005" s="2"/>
    </row>
    <row r="1006" spans="1:12" ht="52" x14ac:dyDescent="0.2">
      <c r="A1006" s="2" t="s">
        <v>2088</v>
      </c>
      <c r="B1006" s="2" t="s">
        <v>2218</v>
      </c>
      <c r="C1006" s="2" t="s">
        <v>2227</v>
      </c>
      <c r="D1006" s="2" t="s">
        <v>2228</v>
      </c>
      <c r="E1006" s="3" t="s">
        <v>16</v>
      </c>
      <c r="F1006" s="4" t="s">
        <v>17</v>
      </c>
      <c r="G1006" s="2" t="s">
        <v>17</v>
      </c>
      <c r="H1006" s="5" t="s">
        <v>18</v>
      </c>
      <c r="I1006" s="2"/>
      <c r="J1006" s="2"/>
      <c r="K1006" s="2" t="s">
        <v>19</v>
      </c>
      <c r="L1006" s="2"/>
    </row>
    <row r="1007" spans="1:12" ht="52" x14ac:dyDescent="0.2">
      <c r="A1007" s="2" t="s">
        <v>2088</v>
      </c>
      <c r="B1007" s="2" t="s">
        <v>2229</v>
      </c>
      <c r="C1007" s="2" t="s">
        <v>2230</v>
      </c>
      <c r="D1007" s="2" t="s">
        <v>2231</v>
      </c>
      <c r="E1007" s="3" t="s">
        <v>16</v>
      </c>
      <c r="F1007" s="4" t="s">
        <v>17</v>
      </c>
      <c r="G1007" s="2" t="s">
        <v>17</v>
      </c>
      <c r="H1007" s="5" t="s">
        <v>18</v>
      </c>
      <c r="I1007" s="2"/>
      <c r="J1007" s="2"/>
      <c r="K1007" s="2" t="s">
        <v>19</v>
      </c>
      <c r="L1007" s="2"/>
    </row>
    <row r="1008" spans="1:12" ht="26" x14ac:dyDescent="0.2">
      <c r="A1008" s="2" t="s">
        <v>2088</v>
      </c>
      <c r="B1008" s="2" t="s">
        <v>2229</v>
      </c>
      <c r="C1008" s="2" t="s">
        <v>2232</v>
      </c>
      <c r="D1008" s="2" t="s">
        <v>2233</v>
      </c>
      <c r="E1008" s="3" t="s">
        <v>16</v>
      </c>
      <c r="F1008" s="4" t="s">
        <v>17</v>
      </c>
      <c r="G1008" s="2" t="s">
        <v>17</v>
      </c>
      <c r="H1008" s="5" t="s">
        <v>18</v>
      </c>
      <c r="I1008" s="2"/>
      <c r="J1008" s="2"/>
      <c r="K1008" s="2" t="s">
        <v>19</v>
      </c>
      <c r="L1008" s="2"/>
    </row>
    <row r="1009" spans="1:12" ht="39" x14ac:dyDescent="0.2">
      <c r="A1009" s="2" t="s">
        <v>2088</v>
      </c>
      <c r="B1009" s="2" t="s">
        <v>2229</v>
      </c>
      <c r="C1009" s="2" t="s">
        <v>2234</v>
      </c>
      <c r="D1009" s="2" t="s">
        <v>2235</v>
      </c>
      <c r="E1009" s="3" t="s">
        <v>16</v>
      </c>
      <c r="F1009" s="4" t="s">
        <v>17</v>
      </c>
      <c r="G1009" s="2" t="s">
        <v>17</v>
      </c>
      <c r="H1009" s="5" t="s">
        <v>18</v>
      </c>
      <c r="I1009" s="2"/>
      <c r="J1009" s="2"/>
      <c r="K1009" s="2" t="s">
        <v>19</v>
      </c>
      <c r="L1009" s="2"/>
    </row>
    <row r="1010" spans="1:12" ht="39" x14ac:dyDescent="0.2">
      <c r="A1010" s="2" t="s">
        <v>2088</v>
      </c>
      <c r="B1010" s="2" t="s">
        <v>2229</v>
      </c>
      <c r="C1010" s="2" t="s">
        <v>2236</v>
      </c>
      <c r="D1010" s="2" t="s">
        <v>2237</v>
      </c>
      <c r="E1010" s="3" t="s">
        <v>16</v>
      </c>
      <c r="F1010" s="4" t="s">
        <v>17</v>
      </c>
      <c r="G1010" s="2" t="s">
        <v>17</v>
      </c>
      <c r="H1010" s="5" t="s">
        <v>18</v>
      </c>
      <c r="I1010" s="2"/>
      <c r="J1010" s="2"/>
      <c r="K1010" s="2" t="s">
        <v>19</v>
      </c>
      <c r="L1010" s="2"/>
    </row>
    <row r="1011" spans="1:12" ht="39" x14ac:dyDescent="0.2">
      <c r="A1011" s="2" t="s">
        <v>2088</v>
      </c>
      <c r="B1011" s="2" t="s">
        <v>2238</v>
      </c>
      <c r="C1011" s="2" t="s">
        <v>2239</v>
      </c>
      <c r="D1011" s="2" t="s">
        <v>2240</v>
      </c>
      <c r="E1011" s="3" t="s">
        <v>16</v>
      </c>
      <c r="F1011" s="4" t="s">
        <v>17</v>
      </c>
      <c r="G1011" s="2" t="s">
        <v>17</v>
      </c>
      <c r="H1011" s="5" t="s">
        <v>18</v>
      </c>
      <c r="I1011" s="2"/>
      <c r="J1011" s="2"/>
      <c r="K1011" s="2" t="s">
        <v>19</v>
      </c>
      <c r="L1011" s="2"/>
    </row>
    <row r="1012" spans="1:12" ht="39" x14ac:dyDescent="0.2">
      <c r="A1012" s="2" t="s">
        <v>2088</v>
      </c>
      <c r="B1012" s="2" t="s">
        <v>2238</v>
      </c>
      <c r="C1012" s="2" t="s">
        <v>2241</v>
      </c>
      <c r="D1012" s="2" t="s">
        <v>2242</v>
      </c>
      <c r="E1012" s="3" t="s">
        <v>16</v>
      </c>
      <c r="F1012" s="4" t="s">
        <v>17</v>
      </c>
      <c r="G1012" s="2" t="s">
        <v>17</v>
      </c>
      <c r="H1012" s="5" t="s">
        <v>18</v>
      </c>
      <c r="I1012" s="2"/>
      <c r="J1012" s="2"/>
      <c r="K1012" s="2" t="s">
        <v>19</v>
      </c>
      <c r="L1012" s="2"/>
    </row>
    <row r="1013" spans="1:12" ht="52" x14ac:dyDescent="0.2">
      <c r="A1013" s="2" t="s">
        <v>2088</v>
      </c>
      <c r="B1013" s="2" t="s">
        <v>2238</v>
      </c>
      <c r="C1013" s="2" t="s">
        <v>2243</v>
      </c>
      <c r="D1013" s="2" t="s">
        <v>2244</v>
      </c>
      <c r="E1013" s="3" t="s">
        <v>16</v>
      </c>
      <c r="F1013" s="4" t="s">
        <v>17</v>
      </c>
      <c r="G1013" s="2" t="s">
        <v>17</v>
      </c>
      <c r="H1013" s="5" t="s">
        <v>18</v>
      </c>
      <c r="I1013" s="2"/>
      <c r="J1013" s="2"/>
      <c r="K1013" s="2" t="s">
        <v>19</v>
      </c>
      <c r="L1013" s="2"/>
    </row>
    <row r="1014" spans="1:12" ht="39" x14ac:dyDescent="0.2">
      <c r="A1014" s="2" t="s">
        <v>2088</v>
      </c>
      <c r="B1014" s="2" t="s">
        <v>2238</v>
      </c>
      <c r="C1014" s="2" t="s">
        <v>2245</v>
      </c>
      <c r="D1014" s="2" t="s">
        <v>2246</v>
      </c>
      <c r="E1014" s="3" t="s">
        <v>16</v>
      </c>
      <c r="F1014" s="4" t="s">
        <v>17</v>
      </c>
      <c r="G1014" s="2" t="s">
        <v>17</v>
      </c>
      <c r="H1014" s="5" t="s">
        <v>18</v>
      </c>
      <c r="I1014" s="2"/>
      <c r="J1014" s="2"/>
      <c r="K1014" s="2" t="s">
        <v>19</v>
      </c>
      <c r="L1014" s="2"/>
    </row>
    <row r="1015" spans="1:12" ht="39" x14ac:dyDescent="0.2">
      <c r="A1015" s="2" t="s">
        <v>2088</v>
      </c>
      <c r="B1015" s="2" t="s">
        <v>2238</v>
      </c>
      <c r="C1015" s="2" t="s">
        <v>2247</v>
      </c>
      <c r="D1015" s="2" t="s">
        <v>2248</v>
      </c>
      <c r="E1015" s="3" t="s">
        <v>16</v>
      </c>
      <c r="F1015" s="4" t="s">
        <v>17</v>
      </c>
      <c r="G1015" s="2" t="s">
        <v>17</v>
      </c>
      <c r="H1015" s="5" t="s">
        <v>18</v>
      </c>
      <c r="I1015" s="2"/>
      <c r="J1015" s="2"/>
      <c r="K1015" s="2" t="s">
        <v>19</v>
      </c>
      <c r="L1015" s="2"/>
    </row>
    <row r="1016" spans="1:12" ht="52" x14ac:dyDescent="0.2">
      <c r="A1016" s="2" t="s">
        <v>2088</v>
      </c>
      <c r="B1016" s="2" t="s">
        <v>2238</v>
      </c>
      <c r="C1016" s="2" t="s">
        <v>2249</v>
      </c>
      <c r="D1016" s="2" t="s">
        <v>2250</v>
      </c>
      <c r="E1016" s="3" t="s">
        <v>16</v>
      </c>
      <c r="F1016" s="4" t="s">
        <v>17</v>
      </c>
      <c r="G1016" s="2" t="s">
        <v>17</v>
      </c>
      <c r="H1016" s="5" t="s">
        <v>18</v>
      </c>
      <c r="I1016" s="2"/>
      <c r="J1016" s="2"/>
      <c r="K1016" s="2" t="s">
        <v>19</v>
      </c>
      <c r="L1016" s="2"/>
    </row>
    <row r="1017" spans="1:12" ht="39" x14ac:dyDescent="0.2">
      <c r="A1017" s="2" t="s">
        <v>2088</v>
      </c>
      <c r="B1017" s="2" t="s">
        <v>2238</v>
      </c>
      <c r="C1017" s="2" t="s">
        <v>2251</v>
      </c>
      <c r="D1017" s="2" t="s">
        <v>2252</v>
      </c>
      <c r="E1017" s="3" t="s">
        <v>16</v>
      </c>
      <c r="F1017" s="4" t="s">
        <v>17</v>
      </c>
      <c r="G1017" s="2" t="s">
        <v>17</v>
      </c>
      <c r="H1017" s="5" t="s">
        <v>18</v>
      </c>
      <c r="I1017" s="2"/>
      <c r="J1017" s="2"/>
      <c r="K1017" s="2" t="s">
        <v>19</v>
      </c>
      <c r="L1017" s="2"/>
    </row>
    <row r="1018" spans="1:12" ht="78" x14ac:dyDescent="0.2">
      <c r="A1018" s="2" t="s">
        <v>2088</v>
      </c>
      <c r="B1018" s="2" t="s">
        <v>2253</v>
      </c>
      <c r="C1018" s="2" t="s">
        <v>2254</v>
      </c>
      <c r="D1018" s="2" t="s">
        <v>2255</v>
      </c>
      <c r="E1018" s="3" t="s">
        <v>16</v>
      </c>
      <c r="F1018" s="4" t="s">
        <v>17</v>
      </c>
      <c r="G1018" s="2" t="s">
        <v>17</v>
      </c>
      <c r="H1018" s="5" t="s">
        <v>18</v>
      </c>
      <c r="I1018" s="2"/>
      <c r="J1018" s="2"/>
      <c r="K1018" s="2" t="s">
        <v>19</v>
      </c>
      <c r="L1018" s="2"/>
    </row>
    <row r="1019" spans="1:12" ht="39" x14ac:dyDescent="0.2">
      <c r="A1019" s="2" t="s">
        <v>2088</v>
      </c>
      <c r="B1019" s="2" t="s">
        <v>2253</v>
      </c>
      <c r="C1019" s="2" t="s">
        <v>2256</v>
      </c>
      <c r="D1019" s="2" t="s">
        <v>2257</v>
      </c>
      <c r="E1019" s="3" t="s">
        <v>16</v>
      </c>
      <c r="F1019" s="4" t="s">
        <v>17</v>
      </c>
      <c r="G1019" s="2" t="s">
        <v>17</v>
      </c>
      <c r="H1019" s="5" t="s">
        <v>18</v>
      </c>
      <c r="I1019" s="2"/>
      <c r="J1019" s="2"/>
      <c r="K1019" s="2" t="s">
        <v>19</v>
      </c>
      <c r="L1019" s="2"/>
    </row>
    <row r="1020" spans="1:12" ht="52" x14ac:dyDescent="0.2">
      <c r="A1020" s="2" t="s">
        <v>2088</v>
      </c>
      <c r="B1020" s="2" t="s">
        <v>2253</v>
      </c>
      <c r="C1020" s="2" t="s">
        <v>2258</v>
      </c>
      <c r="D1020" s="2" t="s">
        <v>2259</v>
      </c>
      <c r="E1020" s="3" t="s">
        <v>16</v>
      </c>
      <c r="F1020" s="4" t="s">
        <v>17</v>
      </c>
      <c r="G1020" s="2" t="s">
        <v>17</v>
      </c>
      <c r="H1020" s="5" t="s">
        <v>18</v>
      </c>
      <c r="I1020" s="2"/>
      <c r="J1020" s="2"/>
      <c r="K1020" s="2" t="s">
        <v>19</v>
      </c>
      <c r="L1020" s="2"/>
    </row>
    <row r="1021" spans="1:12" ht="39" x14ac:dyDescent="0.2">
      <c r="A1021" s="2" t="s">
        <v>2088</v>
      </c>
      <c r="B1021" s="2" t="s">
        <v>2253</v>
      </c>
      <c r="C1021" s="2" t="s">
        <v>2260</v>
      </c>
      <c r="D1021" s="2" t="s">
        <v>2261</v>
      </c>
      <c r="E1021" s="3" t="s">
        <v>16</v>
      </c>
      <c r="F1021" s="4" t="s">
        <v>17</v>
      </c>
      <c r="G1021" s="2" t="s">
        <v>17</v>
      </c>
      <c r="H1021" s="5" t="s">
        <v>18</v>
      </c>
      <c r="I1021" s="2"/>
      <c r="J1021" s="2"/>
      <c r="K1021" s="2" t="s">
        <v>19</v>
      </c>
      <c r="L1021" s="2"/>
    </row>
    <row r="1022" spans="1:12" ht="65" x14ac:dyDescent="0.2">
      <c r="A1022" s="2" t="s">
        <v>2088</v>
      </c>
      <c r="B1022" s="2" t="s">
        <v>2253</v>
      </c>
      <c r="C1022" s="2" t="s">
        <v>2262</v>
      </c>
      <c r="D1022" s="2" t="s">
        <v>2263</v>
      </c>
      <c r="E1022" s="3" t="s">
        <v>16</v>
      </c>
      <c r="F1022" s="4" t="s">
        <v>17</v>
      </c>
      <c r="G1022" s="2" t="s">
        <v>17</v>
      </c>
      <c r="H1022" s="5" t="s">
        <v>18</v>
      </c>
      <c r="I1022" s="2"/>
      <c r="J1022" s="2"/>
      <c r="K1022" s="2" t="s">
        <v>19</v>
      </c>
      <c r="L1022" s="2"/>
    </row>
    <row r="1023" spans="1:12" ht="52" x14ac:dyDescent="0.2">
      <c r="A1023" s="2" t="s">
        <v>2088</v>
      </c>
      <c r="B1023" s="2" t="s">
        <v>2264</v>
      </c>
      <c r="C1023" s="2" t="s">
        <v>2265</v>
      </c>
      <c r="D1023" s="2" t="s">
        <v>2266</v>
      </c>
      <c r="E1023" s="3" t="s">
        <v>16</v>
      </c>
      <c r="F1023" s="4" t="s">
        <v>17</v>
      </c>
      <c r="G1023" s="2" t="s">
        <v>17</v>
      </c>
      <c r="H1023" s="5" t="s">
        <v>18</v>
      </c>
      <c r="I1023" s="2"/>
      <c r="J1023" s="2"/>
      <c r="K1023" s="2" t="s">
        <v>19</v>
      </c>
      <c r="L1023" s="2"/>
    </row>
    <row r="1024" spans="1:12" ht="39" x14ac:dyDescent="0.2">
      <c r="A1024" s="2" t="s">
        <v>2088</v>
      </c>
      <c r="B1024" s="2" t="s">
        <v>2264</v>
      </c>
      <c r="C1024" s="2" t="s">
        <v>2267</v>
      </c>
      <c r="D1024" s="2" t="s">
        <v>2268</v>
      </c>
      <c r="E1024" s="3" t="s">
        <v>16</v>
      </c>
      <c r="F1024" s="4" t="s">
        <v>17</v>
      </c>
      <c r="G1024" s="2" t="s">
        <v>17</v>
      </c>
      <c r="H1024" s="5" t="s">
        <v>18</v>
      </c>
      <c r="I1024" s="2"/>
      <c r="J1024" s="2"/>
      <c r="K1024" s="2" t="s">
        <v>19</v>
      </c>
      <c r="L1024" s="2"/>
    </row>
    <row r="1025" spans="1:12" ht="39" x14ac:dyDescent="0.2">
      <c r="A1025" s="2" t="s">
        <v>2088</v>
      </c>
      <c r="B1025" s="2" t="s">
        <v>2264</v>
      </c>
      <c r="C1025" s="2" t="s">
        <v>2269</v>
      </c>
      <c r="D1025" s="2" t="s">
        <v>2270</v>
      </c>
      <c r="E1025" s="3" t="s">
        <v>16</v>
      </c>
      <c r="F1025" s="4" t="s">
        <v>17</v>
      </c>
      <c r="G1025" s="2" t="s">
        <v>17</v>
      </c>
      <c r="H1025" s="5" t="s">
        <v>18</v>
      </c>
      <c r="I1025" s="2"/>
      <c r="J1025" s="2"/>
      <c r="K1025" s="2" t="s">
        <v>19</v>
      </c>
      <c r="L1025" s="2"/>
    </row>
    <row r="1026" spans="1:12" ht="39" x14ac:dyDescent="0.2">
      <c r="A1026" s="2" t="s">
        <v>2088</v>
      </c>
      <c r="B1026" s="2" t="s">
        <v>2264</v>
      </c>
      <c r="C1026" s="2" t="s">
        <v>2271</v>
      </c>
      <c r="D1026" s="2" t="s">
        <v>2272</v>
      </c>
      <c r="E1026" s="3" t="s">
        <v>16</v>
      </c>
      <c r="F1026" s="4" t="s">
        <v>17</v>
      </c>
      <c r="G1026" s="2" t="s">
        <v>17</v>
      </c>
      <c r="H1026" s="5" t="s">
        <v>18</v>
      </c>
      <c r="I1026" s="2"/>
      <c r="J1026" s="2"/>
      <c r="K1026" s="2" t="s">
        <v>19</v>
      </c>
      <c r="L1026" s="2"/>
    </row>
  </sheetData>
  <autoFilter ref="A1:L1026"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2"/>
  <sheetViews>
    <sheetView workbookViewId="0">
      <pane ySplit="1" topLeftCell="A2" activePane="bottomLeft" state="frozen"/>
      <selection pane="bottomLeft"/>
    </sheetView>
  </sheetViews>
  <sheetFormatPr baseColWidth="10" defaultColWidth="8.83203125" defaultRowHeight="15" x14ac:dyDescent="0.2"/>
  <cols>
    <col min="1" max="1" width="22" customWidth="1"/>
    <col min="2" max="2" width="8" customWidth="1"/>
    <col min="3" max="5" width="18" customWidth="1"/>
    <col min="6" max="6" width="16" customWidth="1"/>
    <col min="7" max="7" width="35" customWidth="1"/>
    <col min="8" max="8" width="18" customWidth="1"/>
    <col min="9" max="9" width="22" customWidth="1"/>
    <col min="10" max="10" width="18" customWidth="1"/>
    <col min="11" max="11" width="14" customWidth="1"/>
  </cols>
  <sheetData>
    <row r="1" spans="1:11" ht="18" customHeight="1" x14ac:dyDescent="0.2">
      <c r="A1" s="11" t="s">
        <v>0</v>
      </c>
      <c r="B1" s="11" t="s">
        <v>2273</v>
      </c>
      <c r="C1" s="11" t="s">
        <v>4</v>
      </c>
      <c r="D1" s="11" t="s">
        <v>2274</v>
      </c>
      <c r="E1" s="11" t="s">
        <v>2275</v>
      </c>
      <c r="F1" s="11" t="s">
        <v>2276</v>
      </c>
      <c r="G1" s="11" t="s">
        <v>2277</v>
      </c>
      <c r="H1" s="11" t="s">
        <v>2278</v>
      </c>
      <c r="I1" s="11" t="s">
        <v>2279</v>
      </c>
      <c r="J1" s="11" t="s">
        <v>2280</v>
      </c>
      <c r="K1" s="11" t="s">
        <v>2281</v>
      </c>
    </row>
    <row r="2" spans="1:11" x14ac:dyDescent="0.2">
      <c r="A2" s="12" t="s">
        <v>12</v>
      </c>
      <c r="B2" s="12" t="s">
        <v>2282</v>
      </c>
      <c r="C2" s="12" t="s">
        <v>16</v>
      </c>
      <c r="D2" s="12">
        <v>114</v>
      </c>
      <c r="E2" s="12">
        <v>114</v>
      </c>
      <c r="F2" s="12" t="s">
        <v>2283</v>
      </c>
      <c r="G2" s="13" t="s">
        <v>2284</v>
      </c>
      <c r="H2" s="12" t="s">
        <v>2285</v>
      </c>
      <c r="I2" s="12">
        <v>0</v>
      </c>
      <c r="J2" s="12">
        <v>0</v>
      </c>
      <c r="K2" s="12" t="s">
        <v>2286</v>
      </c>
    </row>
    <row r="3" spans="1:11" x14ac:dyDescent="0.2">
      <c r="A3" s="12" t="s">
        <v>260</v>
      </c>
      <c r="B3" s="12" t="s">
        <v>2287</v>
      </c>
      <c r="C3" s="12" t="s">
        <v>264</v>
      </c>
      <c r="D3" s="12">
        <v>52</v>
      </c>
      <c r="E3" s="12">
        <v>54</v>
      </c>
      <c r="F3" s="12" t="s">
        <v>2283</v>
      </c>
      <c r="G3" s="14" t="s">
        <v>2288</v>
      </c>
      <c r="H3" s="12" t="s">
        <v>2285</v>
      </c>
      <c r="I3" s="12">
        <v>7</v>
      </c>
      <c r="J3" s="12">
        <v>0</v>
      </c>
      <c r="K3" s="12" t="s">
        <v>2286</v>
      </c>
    </row>
    <row r="4" spans="1:11" x14ac:dyDescent="0.2">
      <c r="A4" s="12" t="s">
        <v>392</v>
      </c>
      <c r="B4" s="12" t="s">
        <v>2289</v>
      </c>
      <c r="C4" s="12" t="s">
        <v>264</v>
      </c>
      <c r="D4" s="12">
        <v>43</v>
      </c>
      <c r="E4" s="12">
        <v>37</v>
      </c>
      <c r="F4" s="12" t="s">
        <v>2283</v>
      </c>
      <c r="G4" s="14" t="s">
        <v>2290</v>
      </c>
      <c r="H4" s="12" t="s">
        <v>2285</v>
      </c>
      <c r="I4" s="12">
        <v>5</v>
      </c>
      <c r="J4" s="12">
        <v>0</v>
      </c>
      <c r="K4" s="12" t="s">
        <v>2286</v>
      </c>
    </row>
    <row r="5" spans="1:11" x14ac:dyDescent="0.2">
      <c r="A5" s="12" t="s">
        <v>480</v>
      </c>
      <c r="B5" s="12" t="s">
        <v>2291</v>
      </c>
      <c r="C5" s="12" t="s">
        <v>264</v>
      </c>
      <c r="D5" s="12">
        <v>38</v>
      </c>
      <c r="E5" s="12">
        <v>31</v>
      </c>
      <c r="F5" s="12" t="s">
        <v>2283</v>
      </c>
      <c r="G5" s="14" t="s">
        <v>2292</v>
      </c>
      <c r="H5" s="12" t="s">
        <v>2285</v>
      </c>
      <c r="I5" s="12">
        <v>4</v>
      </c>
      <c r="J5" s="12">
        <v>0</v>
      </c>
      <c r="K5" s="12" t="s">
        <v>2286</v>
      </c>
    </row>
    <row r="6" spans="1:11" x14ac:dyDescent="0.2">
      <c r="A6" s="12" t="s">
        <v>554</v>
      </c>
      <c r="B6" s="12" t="s">
        <v>2293</v>
      </c>
      <c r="C6" s="12" t="s">
        <v>264</v>
      </c>
      <c r="D6" s="12">
        <v>40</v>
      </c>
      <c r="E6" s="12">
        <v>30</v>
      </c>
      <c r="F6" s="12" t="s">
        <v>2283</v>
      </c>
      <c r="G6" s="14" t="s">
        <v>2294</v>
      </c>
      <c r="H6" s="12" t="s">
        <v>2285</v>
      </c>
      <c r="I6" s="12">
        <v>5</v>
      </c>
      <c r="J6" s="12">
        <v>0</v>
      </c>
      <c r="K6" s="12" t="s">
        <v>2286</v>
      </c>
    </row>
    <row r="7" spans="1:11" x14ac:dyDescent="0.2">
      <c r="A7" s="12" t="s">
        <v>628</v>
      </c>
      <c r="B7" s="12" t="s">
        <v>2295</v>
      </c>
      <c r="C7" s="12" t="s">
        <v>16</v>
      </c>
      <c r="D7" s="12">
        <v>101</v>
      </c>
      <c r="E7" s="12">
        <v>104</v>
      </c>
      <c r="F7" s="12">
        <v>104</v>
      </c>
      <c r="G7" s="14" t="s">
        <v>2296</v>
      </c>
      <c r="H7" s="12" t="s">
        <v>2297</v>
      </c>
      <c r="I7" s="12">
        <v>0</v>
      </c>
      <c r="J7" s="12">
        <v>0</v>
      </c>
      <c r="K7" s="12" t="s">
        <v>2286</v>
      </c>
    </row>
    <row r="8" spans="1:11" x14ac:dyDescent="0.2">
      <c r="A8" s="12" t="s">
        <v>852</v>
      </c>
      <c r="B8" s="12" t="s">
        <v>2298</v>
      </c>
      <c r="C8" s="12" t="s">
        <v>16</v>
      </c>
      <c r="D8" s="12">
        <v>128</v>
      </c>
      <c r="E8" s="12">
        <v>123</v>
      </c>
      <c r="F8" s="12">
        <v>123</v>
      </c>
      <c r="G8" s="14" t="s">
        <v>2299</v>
      </c>
      <c r="H8" s="12" t="s">
        <v>2297</v>
      </c>
      <c r="I8" s="12">
        <v>0</v>
      </c>
      <c r="J8" s="12">
        <v>0</v>
      </c>
      <c r="K8" s="12" t="s">
        <v>2286</v>
      </c>
    </row>
    <row r="9" spans="1:11" x14ac:dyDescent="0.2">
      <c r="A9" s="12" t="s">
        <v>1118</v>
      </c>
      <c r="B9" s="12" t="s">
        <v>2300</v>
      </c>
      <c r="C9" s="12" t="s">
        <v>16</v>
      </c>
      <c r="D9" s="12">
        <v>174</v>
      </c>
      <c r="E9" s="12">
        <v>174</v>
      </c>
      <c r="F9" s="12">
        <v>174</v>
      </c>
      <c r="G9" s="13" t="s">
        <v>2284</v>
      </c>
      <c r="H9" s="12" t="s">
        <v>2297</v>
      </c>
      <c r="I9" s="12">
        <v>0</v>
      </c>
      <c r="J9" s="12">
        <v>0</v>
      </c>
      <c r="K9" s="12" t="s">
        <v>2286</v>
      </c>
    </row>
    <row r="10" spans="1:11" x14ac:dyDescent="0.2">
      <c r="A10" s="12" t="s">
        <v>1486</v>
      </c>
      <c r="B10" s="12" t="s">
        <v>2301</v>
      </c>
      <c r="C10" s="12" t="s">
        <v>264</v>
      </c>
      <c r="D10" s="12">
        <v>152</v>
      </c>
      <c r="E10" s="12">
        <v>152</v>
      </c>
      <c r="F10" s="12">
        <v>152</v>
      </c>
      <c r="G10" s="13" t="s">
        <v>2284</v>
      </c>
      <c r="H10" s="12" t="s">
        <v>2297</v>
      </c>
      <c r="I10" s="12">
        <v>14</v>
      </c>
      <c r="J10" s="12">
        <v>1</v>
      </c>
      <c r="K10" s="12" t="s">
        <v>2286</v>
      </c>
    </row>
    <row r="11" spans="1:11" x14ac:dyDescent="0.2">
      <c r="A11" s="12" t="s">
        <v>1819</v>
      </c>
      <c r="B11" s="12" t="s">
        <v>2302</v>
      </c>
      <c r="C11" s="12" t="s">
        <v>264</v>
      </c>
      <c r="D11" s="12">
        <v>122</v>
      </c>
      <c r="E11" s="12">
        <v>122</v>
      </c>
      <c r="F11" s="12">
        <v>122</v>
      </c>
      <c r="G11" s="13" t="s">
        <v>2284</v>
      </c>
      <c r="H11" s="12" t="s">
        <v>2297</v>
      </c>
      <c r="I11" s="12">
        <v>10</v>
      </c>
      <c r="J11" s="12">
        <v>1</v>
      </c>
      <c r="K11" s="12" t="s">
        <v>2286</v>
      </c>
    </row>
    <row r="12" spans="1:11" x14ac:dyDescent="0.2">
      <c r="A12" s="12" t="s">
        <v>2088</v>
      </c>
      <c r="B12" s="12" t="s">
        <v>2088</v>
      </c>
      <c r="C12" s="12" t="s">
        <v>16</v>
      </c>
      <c r="D12" s="12">
        <v>96</v>
      </c>
      <c r="E12" s="12">
        <v>84</v>
      </c>
      <c r="F12" s="12">
        <v>84</v>
      </c>
      <c r="G12" s="14" t="s">
        <v>2303</v>
      </c>
      <c r="H12" s="12" t="s">
        <v>2297</v>
      </c>
      <c r="I12" s="12">
        <v>0</v>
      </c>
      <c r="J12" s="12">
        <v>0</v>
      </c>
      <c r="K12" s="12" t="s">
        <v>2286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6"/>
  <sheetViews>
    <sheetView workbookViewId="0">
      <pane ySplit="1" topLeftCell="A2" activePane="bottomLeft" state="frozen"/>
      <selection pane="bottomLeft"/>
    </sheetView>
  </sheetViews>
  <sheetFormatPr baseColWidth="10" defaultColWidth="8.83203125" defaultRowHeight="15" x14ac:dyDescent="0.2"/>
  <cols>
    <col min="1" max="1" width="15" customWidth="1"/>
    <col min="2" max="2" width="22" customWidth="1"/>
    <col min="3" max="3" width="12" customWidth="1"/>
    <col min="4" max="5" width="55" customWidth="1"/>
    <col min="6" max="6" width="12" customWidth="1"/>
  </cols>
  <sheetData>
    <row r="1" spans="1:6" ht="18" customHeight="1" x14ac:dyDescent="0.2">
      <c r="A1" s="11" t="s">
        <v>2304</v>
      </c>
      <c r="B1" s="11" t="s">
        <v>0</v>
      </c>
      <c r="C1" s="11" t="s">
        <v>5</v>
      </c>
      <c r="D1" s="11" t="s">
        <v>2305</v>
      </c>
      <c r="E1" s="11" t="s">
        <v>2306</v>
      </c>
      <c r="F1" s="11" t="s">
        <v>4</v>
      </c>
    </row>
    <row r="2" spans="1:6" x14ac:dyDescent="0.2">
      <c r="A2" s="12" t="s">
        <v>2307</v>
      </c>
      <c r="B2" s="12" t="s">
        <v>1486</v>
      </c>
      <c r="C2" s="15" t="s">
        <v>2072</v>
      </c>
      <c r="D2" s="12" t="s">
        <v>2308</v>
      </c>
      <c r="E2" s="12" t="s">
        <v>2309</v>
      </c>
      <c r="F2" s="12" t="s">
        <v>2310</v>
      </c>
    </row>
    <row r="3" spans="1:6" x14ac:dyDescent="0.2">
      <c r="A3" s="12" t="s">
        <v>2073</v>
      </c>
      <c r="B3" s="12" t="s">
        <v>1819</v>
      </c>
      <c r="C3" s="15" t="s">
        <v>2072</v>
      </c>
      <c r="D3" s="12" t="s">
        <v>2311</v>
      </c>
      <c r="E3" s="12" t="s">
        <v>2070</v>
      </c>
      <c r="F3" s="12" t="s">
        <v>2310</v>
      </c>
    </row>
    <row r="4" spans="1:6" x14ac:dyDescent="0.2">
      <c r="A4" s="12" t="s">
        <v>1723</v>
      </c>
      <c r="B4" s="12" t="s">
        <v>1486</v>
      </c>
      <c r="C4" s="16" t="s">
        <v>272</v>
      </c>
      <c r="D4" s="12" t="s">
        <v>2312</v>
      </c>
      <c r="E4" s="12" t="s">
        <v>2313</v>
      </c>
      <c r="F4" s="12" t="s">
        <v>2310</v>
      </c>
    </row>
    <row r="5" spans="1:6" x14ac:dyDescent="0.2">
      <c r="A5" s="12" t="s">
        <v>1669</v>
      </c>
      <c r="B5" s="12" t="s">
        <v>1486</v>
      </c>
      <c r="C5" s="16" t="s">
        <v>272</v>
      </c>
      <c r="D5" s="12" t="s">
        <v>2314</v>
      </c>
      <c r="E5" s="12" t="s">
        <v>1667</v>
      </c>
      <c r="F5" s="12" t="s">
        <v>2310</v>
      </c>
    </row>
    <row r="6" spans="1:6" x14ac:dyDescent="0.2">
      <c r="A6" s="12" t="s">
        <v>1768</v>
      </c>
      <c r="B6" s="12" t="s">
        <v>1486</v>
      </c>
      <c r="C6" s="16" t="s">
        <v>272</v>
      </c>
      <c r="D6" s="12" t="s">
        <v>2315</v>
      </c>
      <c r="E6" s="12" t="s">
        <v>1766</v>
      </c>
      <c r="F6" s="12" t="s">
        <v>2310</v>
      </c>
    </row>
    <row r="7" spans="1:6" x14ac:dyDescent="0.2">
      <c r="A7" s="12" t="s">
        <v>1608</v>
      </c>
      <c r="B7" s="12" t="s">
        <v>1486</v>
      </c>
      <c r="C7" s="16" t="s">
        <v>272</v>
      </c>
      <c r="D7" s="12" t="s">
        <v>2316</v>
      </c>
      <c r="E7" s="12" t="s">
        <v>1606</v>
      </c>
      <c r="F7" s="12" t="s">
        <v>2310</v>
      </c>
    </row>
    <row r="8" spans="1:6" x14ac:dyDescent="0.2">
      <c r="A8" s="12" t="s">
        <v>2317</v>
      </c>
      <c r="B8" s="12" t="s">
        <v>1486</v>
      </c>
      <c r="C8" s="16" t="s">
        <v>272</v>
      </c>
      <c r="D8" s="12" t="s">
        <v>2318</v>
      </c>
      <c r="E8" s="12" t="s">
        <v>2309</v>
      </c>
      <c r="F8" s="12" t="s">
        <v>2310</v>
      </c>
    </row>
    <row r="9" spans="1:6" x14ac:dyDescent="0.2">
      <c r="A9" s="12" t="s">
        <v>1738</v>
      </c>
      <c r="B9" s="12" t="s">
        <v>1486</v>
      </c>
      <c r="C9" s="16" t="s">
        <v>272</v>
      </c>
      <c r="D9" s="12" t="s">
        <v>2319</v>
      </c>
      <c r="E9" s="12" t="s">
        <v>1736</v>
      </c>
      <c r="F9" s="12" t="s">
        <v>2310</v>
      </c>
    </row>
    <row r="10" spans="1:6" x14ac:dyDescent="0.2">
      <c r="A10" s="12" t="s">
        <v>1777</v>
      </c>
      <c r="B10" s="12" t="s">
        <v>1486</v>
      </c>
      <c r="C10" s="16" t="s">
        <v>272</v>
      </c>
      <c r="D10" s="12" t="s">
        <v>2320</v>
      </c>
      <c r="E10" s="12" t="s">
        <v>1775</v>
      </c>
      <c r="F10" s="12" t="s">
        <v>2310</v>
      </c>
    </row>
    <row r="11" spans="1:6" x14ac:dyDescent="0.2">
      <c r="A11" s="12" t="s">
        <v>1823</v>
      </c>
      <c r="B11" s="12" t="s">
        <v>1819</v>
      </c>
      <c r="C11" s="16" t="s">
        <v>272</v>
      </c>
      <c r="D11" s="12" t="s">
        <v>2321</v>
      </c>
      <c r="E11" s="12" t="s">
        <v>1821</v>
      </c>
      <c r="F11" s="12" t="s">
        <v>2310</v>
      </c>
    </row>
    <row r="12" spans="1:6" x14ac:dyDescent="0.2">
      <c r="A12" s="12" t="s">
        <v>2322</v>
      </c>
      <c r="B12" s="12" t="s">
        <v>1819</v>
      </c>
      <c r="C12" s="16" t="s">
        <v>272</v>
      </c>
      <c r="D12" s="12" t="s">
        <v>2323</v>
      </c>
      <c r="E12" s="12" t="s">
        <v>2309</v>
      </c>
      <c r="F12" s="12" t="s">
        <v>2310</v>
      </c>
    </row>
    <row r="13" spans="1:6" x14ac:dyDescent="0.2">
      <c r="A13" s="12" t="s">
        <v>1936</v>
      </c>
      <c r="B13" s="12" t="s">
        <v>1819</v>
      </c>
      <c r="C13" s="16" t="s">
        <v>272</v>
      </c>
      <c r="D13" s="12" t="s">
        <v>2324</v>
      </c>
      <c r="E13" s="12" t="s">
        <v>2325</v>
      </c>
      <c r="F13" s="12" t="s">
        <v>2310</v>
      </c>
    </row>
    <row r="14" spans="1:6" x14ac:dyDescent="0.2">
      <c r="A14" s="12" t="s">
        <v>2021</v>
      </c>
      <c r="B14" s="12" t="s">
        <v>1819</v>
      </c>
      <c r="C14" s="16" t="s">
        <v>272</v>
      </c>
      <c r="D14" s="12" t="s">
        <v>2326</v>
      </c>
      <c r="E14" s="12" t="s">
        <v>2019</v>
      </c>
      <c r="F14" s="12" t="s">
        <v>2310</v>
      </c>
    </row>
    <row r="15" spans="1:6" x14ac:dyDescent="0.2">
      <c r="A15" s="12" t="s">
        <v>273</v>
      </c>
      <c r="B15" s="12" t="s">
        <v>260</v>
      </c>
      <c r="C15" s="16" t="s">
        <v>272</v>
      </c>
      <c r="D15" s="12" t="s">
        <v>2327</v>
      </c>
      <c r="E15" s="12" t="s">
        <v>270</v>
      </c>
      <c r="F15" s="12" t="s">
        <v>2310</v>
      </c>
    </row>
    <row r="16" spans="1:6" x14ac:dyDescent="0.2">
      <c r="A16" s="12" t="s">
        <v>321</v>
      </c>
      <c r="B16" s="12" t="s">
        <v>260</v>
      </c>
      <c r="C16" s="16" t="s">
        <v>272</v>
      </c>
      <c r="D16" s="12" t="s">
        <v>2328</v>
      </c>
      <c r="E16" s="12" t="s">
        <v>319</v>
      </c>
      <c r="F16" s="12" t="s">
        <v>2310</v>
      </c>
    </row>
    <row r="17" spans="1:6" x14ac:dyDescent="0.2">
      <c r="A17" s="12" t="s">
        <v>2329</v>
      </c>
      <c r="B17" s="12" t="s">
        <v>1486</v>
      </c>
      <c r="C17" s="17" t="s">
        <v>317</v>
      </c>
      <c r="D17" s="12" t="s">
        <v>2330</v>
      </c>
      <c r="E17" s="12" t="s">
        <v>2309</v>
      </c>
      <c r="F17" s="12" t="s">
        <v>2310</v>
      </c>
    </row>
    <row r="18" spans="1:6" x14ac:dyDescent="0.2">
      <c r="A18" s="12" t="s">
        <v>2331</v>
      </c>
      <c r="B18" s="12" t="s">
        <v>1486</v>
      </c>
      <c r="C18" s="17" t="s">
        <v>317</v>
      </c>
      <c r="D18" s="12" t="s">
        <v>2332</v>
      </c>
      <c r="E18" s="12" t="s">
        <v>2309</v>
      </c>
      <c r="F18" s="12" t="s">
        <v>2310</v>
      </c>
    </row>
    <row r="19" spans="1:6" x14ac:dyDescent="0.2">
      <c r="A19" s="12" t="s">
        <v>2333</v>
      </c>
      <c r="B19" s="12" t="s">
        <v>1486</v>
      </c>
      <c r="C19" s="17" t="s">
        <v>317</v>
      </c>
      <c r="D19" s="12" t="s">
        <v>2334</v>
      </c>
      <c r="E19" s="12" t="s">
        <v>2309</v>
      </c>
      <c r="F19" s="12" t="s">
        <v>2310</v>
      </c>
    </row>
    <row r="20" spans="1:6" x14ac:dyDescent="0.2">
      <c r="A20" s="12" t="s">
        <v>2335</v>
      </c>
      <c r="B20" s="12" t="s">
        <v>1486</v>
      </c>
      <c r="C20" s="17" t="s">
        <v>317</v>
      </c>
      <c r="D20" s="12" t="s">
        <v>2336</v>
      </c>
      <c r="E20" s="12" t="s">
        <v>2309</v>
      </c>
      <c r="F20" s="12" t="s">
        <v>2310</v>
      </c>
    </row>
    <row r="21" spans="1:6" x14ac:dyDescent="0.2">
      <c r="A21" s="12" t="s">
        <v>1665</v>
      </c>
      <c r="B21" s="12" t="s">
        <v>1486</v>
      </c>
      <c r="C21" s="17" t="s">
        <v>317</v>
      </c>
      <c r="D21" s="12" t="s">
        <v>2337</v>
      </c>
      <c r="E21" s="12" t="s">
        <v>1663</v>
      </c>
      <c r="F21" s="12" t="s">
        <v>2310</v>
      </c>
    </row>
    <row r="22" spans="1:6" x14ac:dyDescent="0.2">
      <c r="A22" s="12" t="s">
        <v>1719</v>
      </c>
      <c r="B22" s="12" t="s">
        <v>1486</v>
      </c>
      <c r="C22" s="17" t="s">
        <v>317</v>
      </c>
      <c r="D22" s="12" t="s">
        <v>2338</v>
      </c>
      <c r="E22" s="12" t="s">
        <v>1717</v>
      </c>
      <c r="F22" s="12" t="s">
        <v>2310</v>
      </c>
    </row>
    <row r="23" spans="1:6" x14ac:dyDescent="0.2">
      <c r="A23" s="12" t="s">
        <v>1848</v>
      </c>
      <c r="B23" s="12" t="s">
        <v>1819</v>
      </c>
      <c r="C23" s="17" t="s">
        <v>317</v>
      </c>
      <c r="D23" s="12" t="s">
        <v>2339</v>
      </c>
      <c r="E23" s="12" t="s">
        <v>1846</v>
      </c>
      <c r="F23" s="12" t="s">
        <v>2310</v>
      </c>
    </row>
    <row r="24" spans="1:6" x14ac:dyDescent="0.2">
      <c r="A24" s="12" t="s">
        <v>2041</v>
      </c>
      <c r="B24" s="12" t="s">
        <v>1819</v>
      </c>
      <c r="C24" s="17" t="s">
        <v>317</v>
      </c>
      <c r="D24" s="12" t="s">
        <v>2340</v>
      </c>
      <c r="E24" s="12" t="s">
        <v>2039</v>
      </c>
      <c r="F24" s="12" t="s">
        <v>2310</v>
      </c>
    </row>
    <row r="25" spans="1:6" x14ac:dyDescent="0.2">
      <c r="A25" s="12" t="s">
        <v>1840</v>
      </c>
      <c r="B25" s="12" t="s">
        <v>1819</v>
      </c>
      <c r="C25" s="17" t="s">
        <v>317</v>
      </c>
      <c r="D25" s="12" t="s">
        <v>2341</v>
      </c>
      <c r="E25" s="12" t="s">
        <v>1838</v>
      </c>
      <c r="F25" s="12" t="s">
        <v>2310</v>
      </c>
    </row>
    <row r="26" spans="1:6" x14ac:dyDescent="0.2">
      <c r="A26" s="12" t="s">
        <v>1870</v>
      </c>
      <c r="B26" s="12" t="s">
        <v>1819</v>
      </c>
      <c r="C26" s="17" t="s">
        <v>317</v>
      </c>
      <c r="D26" s="12" t="s">
        <v>2342</v>
      </c>
      <c r="E26" s="12" t="s">
        <v>1868</v>
      </c>
      <c r="F26" s="12" t="s">
        <v>2310</v>
      </c>
    </row>
    <row r="27" spans="1:6" x14ac:dyDescent="0.2">
      <c r="A27" s="12" t="s">
        <v>1888</v>
      </c>
      <c r="B27" s="12" t="s">
        <v>1819</v>
      </c>
      <c r="C27" s="17" t="s">
        <v>317</v>
      </c>
      <c r="D27" s="12" t="s">
        <v>2343</v>
      </c>
      <c r="E27" s="12" t="s">
        <v>1886</v>
      </c>
      <c r="F27" s="12" t="s">
        <v>2310</v>
      </c>
    </row>
    <row r="28" spans="1:6" x14ac:dyDescent="0.2">
      <c r="A28" s="12" t="s">
        <v>375</v>
      </c>
      <c r="B28" s="12" t="s">
        <v>260</v>
      </c>
      <c r="C28" s="17" t="s">
        <v>317</v>
      </c>
      <c r="D28" s="12" t="s">
        <v>2344</v>
      </c>
      <c r="E28" s="12" t="s">
        <v>373</v>
      </c>
      <c r="F28" s="12" t="s">
        <v>2310</v>
      </c>
    </row>
    <row r="29" spans="1:6" x14ac:dyDescent="0.2">
      <c r="A29" s="12" t="s">
        <v>318</v>
      </c>
      <c r="B29" s="12" t="s">
        <v>260</v>
      </c>
      <c r="C29" s="17" t="s">
        <v>317</v>
      </c>
      <c r="D29" s="12" t="s">
        <v>2345</v>
      </c>
      <c r="E29" s="12" t="s">
        <v>315</v>
      </c>
      <c r="F29" s="12" t="s">
        <v>2310</v>
      </c>
    </row>
    <row r="30" spans="1:6" x14ac:dyDescent="0.2">
      <c r="A30" s="12" t="s">
        <v>336</v>
      </c>
      <c r="B30" s="12" t="s">
        <v>260</v>
      </c>
      <c r="C30" s="17" t="s">
        <v>317</v>
      </c>
      <c r="D30" s="12" t="s">
        <v>2346</v>
      </c>
      <c r="E30" s="12" t="s">
        <v>334</v>
      </c>
      <c r="F30" s="12" t="s">
        <v>2310</v>
      </c>
    </row>
    <row r="31" spans="1:6" x14ac:dyDescent="0.2">
      <c r="A31" s="12" t="s">
        <v>380</v>
      </c>
      <c r="B31" s="12" t="s">
        <v>260</v>
      </c>
      <c r="C31" s="17" t="s">
        <v>317</v>
      </c>
      <c r="D31" s="12" t="s">
        <v>2347</v>
      </c>
      <c r="E31" s="12" t="s">
        <v>378</v>
      </c>
      <c r="F31" s="12" t="s">
        <v>2310</v>
      </c>
    </row>
    <row r="32" spans="1:6" x14ac:dyDescent="0.2">
      <c r="A32" s="12" t="s">
        <v>425</v>
      </c>
      <c r="B32" s="12" t="s">
        <v>392</v>
      </c>
      <c r="C32" s="17" t="s">
        <v>317</v>
      </c>
      <c r="D32" s="12" t="s">
        <v>2348</v>
      </c>
      <c r="E32" s="12" t="s">
        <v>423</v>
      </c>
      <c r="F32" s="12" t="s">
        <v>2310</v>
      </c>
    </row>
    <row r="33" spans="1:6" x14ac:dyDescent="0.2">
      <c r="A33" s="12" t="s">
        <v>401</v>
      </c>
      <c r="B33" s="12" t="s">
        <v>392</v>
      </c>
      <c r="C33" s="17" t="s">
        <v>317</v>
      </c>
      <c r="D33" s="12" t="s">
        <v>2349</v>
      </c>
      <c r="E33" s="12" t="s">
        <v>399</v>
      </c>
      <c r="F33" s="12" t="s">
        <v>2310</v>
      </c>
    </row>
    <row r="34" spans="1:6" x14ac:dyDescent="0.2">
      <c r="A34" s="12" t="s">
        <v>521</v>
      </c>
      <c r="B34" s="12" t="s">
        <v>480</v>
      </c>
      <c r="C34" s="17" t="s">
        <v>317</v>
      </c>
      <c r="D34" s="12" t="s">
        <v>2350</v>
      </c>
      <c r="E34" s="12" t="s">
        <v>519</v>
      </c>
      <c r="F34" s="12" t="s">
        <v>2310</v>
      </c>
    </row>
    <row r="35" spans="1:6" x14ac:dyDescent="0.2">
      <c r="A35" s="12" t="s">
        <v>558</v>
      </c>
      <c r="B35" s="12" t="s">
        <v>554</v>
      </c>
      <c r="C35" s="17" t="s">
        <v>317</v>
      </c>
      <c r="D35" s="12" t="s">
        <v>2351</v>
      </c>
      <c r="E35" s="12" t="s">
        <v>556</v>
      </c>
      <c r="F35" s="12" t="s">
        <v>2310</v>
      </c>
    </row>
    <row r="36" spans="1:6" x14ac:dyDescent="0.2">
      <c r="A36" s="12" t="s">
        <v>606</v>
      </c>
      <c r="B36" s="12" t="s">
        <v>554</v>
      </c>
      <c r="C36" s="17" t="s">
        <v>317</v>
      </c>
      <c r="D36" s="12" t="s">
        <v>2352</v>
      </c>
      <c r="E36" s="12" t="s">
        <v>604</v>
      </c>
      <c r="F36" s="12" t="s">
        <v>2310</v>
      </c>
    </row>
    <row r="37" spans="1:6" x14ac:dyDescent="0.2">
      <c r="A37" s="12" t="s">
        <v>347</v>
      </c>
      <c r="B37" s="12" t="s">
        <v>260</v>
      </c>
      <c r="C37" s="18" t="s">
        <v>346</v>
      </c>
      <c r="D37" s="12" t="s">
        <v>2353</v>
      </c>
      <c r="E37" s="12" t="s">
        <v>344</v>
      </c>
      <c r="F37" s="12" t="s">
        <v>2310</v>
      </c>
    </row>
    <row r="38" spans="1:6" x14ac:dyDescent="0.2">
      <c r="A38" s="12" t="s">
        <v>454</v>
      </c>
      <c r="B38" s="12" t="s">
        <v>392</v>
      </c>
      <c r="C38" s="18" t="s">
        <v>346</v>
      </c>
      <c r="D38" s="12" t="s">
        <v>2354</v>
      </c>
      <c r="E38" s="12" t="s">
        <v>452</v>
      </c>
      <c r="F38" s="12" t="s">
        <v>2310</v>
      </c>
    </row>
    <row r="39" spans="1:6" x14ac:dyDescent="0.2">
      <c r="A39" s="12" t="s">
        <v>396</v>
      </c>
      <c r="B39" s="12" t="s">
        <v>392</v>
      </c>
      <c r="C39" s="18" t="s">
        <v>346</v>
      </c>
      <c r="D39" s="12" t="s">
        <v>2355</v>
      </c>
      <c r="E39" s="12" t="s">
        <v>394</v>
      </c>
      <c r="F39" s="12" t="s">
        <v>2310</v>
      </c>
    </row>
    <row r="40" spans="1:6" x14ac:dyDescent="0.2">
      <c r="A40" s="12" t="s">
        <v>468</v>
      </c>
      <c r="B40" s="12" t="s">
        <v>392</v>
      </c>
      <c r="C40" s="18" t="s">
        <v>346</v>
      </c>
      <c r="D40" s="12" t="s">
        <v>2356</v>
      </c>
      <c r="E40" s="12" t="s">
        <v>466</v>
      </c>
      <c r="F40" s="12" t="s">
        <v>2310</v>
      </c>
    </row>
    <row r="41" spans="1:6" x14ac:dyDescent="0.2">
      <c r="A41" s="12" t="s">
        <v>516</v>
      </c>
      <c r="B41" s="12" t="s">
        <v>480</v>
      </c>
      <c r="C41" s="18" t="s">
        <v>346</v>
      </c>
      <c r="D41" s="12" t="s">
        <v>2357</v>
      </c>
      <c r="E41" s="12" t="s">
        <v>514</v>
      </c>
      <c r="F41" s="12" t="s">
        <v>2310</v>
      </c>
    </row>
    <row r="42" spans="1:6" x14ac:dyDescent="0.2">
      <c r="A42" s="12" t="s">
        <v>542</v>
      </c>
      <c r="B42" s="12" t="s">
        <v>480</v>
      </c>
      <c r="C42" s="18" t="s">
        <v>346</v>
      </c>
      <c r="D42" s="12" t="s">
        <v>2358</v>
      </c>
      <c r="E42" s="12" t="s">
        <v>540</v>
      </c>
      <c r="F42" s="12" t="s">
        <v>2310</v>
      </c>
    </row>
    <row r="43" spans="1:6" x14ac:dyDescent="0.2">
      <c r="A43" s="12" t="s">
        <v>484</v>
      </c>
      <c r="B43" s="12" t="s">
        <v>480</v>
      </c>
      <c r="C43" s="18" t="s">
        <v>346</v>
      </c>
      <c r="D43" s="12" t="s">
        <v>2359</v>
      </c>
      <c r="E43" s="12" t="s">
        <v>482</v>
      </c>
      <c r="F43" s="12" t="s">
        <v>2310</v>
      </c>
    </row>
    <row r="44" spans="1:6" x14ac:dyDescent="0.2">
      <c r="A44" s="12" t="s">
        <v>593</v>
      </c>
      <c r="B44" s="12" t="s">
        <v>554</v>
      </c>
      <c r="C44" s="18" t="s">
        <v>346</v>
      </c>
      <c r="D44" s="12" t="s">
        <v>2360</v>
      </c>
      <c r="E44" s="12" t="s">
        <v>591</v>
      </c>
      <c r="F44" s="12" t="s">
        <v>2310</v>
      </c>
    </row>
    <row r="45" spans="1:6" x14ac:dyDescent="0.2">
      <c r="A45" s="12" t="s">
        <v>596</v>
      </c>
      <c r="B45" s="12" t="s">
        <v>554</v>
      </c>
      <c r="C45" s="18" t="s">
        <v>346</v>
      </c>
      <c r="D45" s="12" t="s">
        <v>2361</v>
      </c>
      <c r="E45" s="12" t="s">
        <v>594</v>
      </c>
      <c r="F45" s="12" t="s">
        <v>2310</v>
      </c>
    </row>
    <row r="46" spans="1:6" x14ac:dyDescent="0.2">
      <c r="A46" s="12" t="s">
        <v>565</v>
      </c>
      <c r="B46" s="12" t="s">
        <v>554</v>
      </c>
      <c r="C46" s="18" t="s">
        <v>346</v>
      </c>
      <c r="D46" s="12" t="s">
        <v>2362</v>
      </c>
      <c r="E46" s="12" t="s">
        <v>563</v>
      </c>
      <c r="F46" s="12" t="s">
        <v>2310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3"/>
  <sheetViews>
    <sheetView workbookViewId="0">
      <selection sqref="A1:D1"/>
    </sheetView>
  </sheetViews>
  <sheetFormatPr baseColWidth="10" defaultColWidth="8.83203125" defaultRowHeight="15" x14ac:dyDescent="0.2"/>
  <cols>
    <col min="1" max="1" width="30" customWidth="1"/>
    <col min="2" max="2" width="20" customWidth="1"/>
    <col min="3" max="3" width="60" customWidth="1"/>
  </cols>
  <sheetData>
    <row r="1" spans="1:4" ht="22" customHeight="1" x14ac:dyDescent="0.25">
      <c r="A1" s="29" t="s">
        <v>2363</v>
      </c>
      <c r="B1" s="30"/>
      <c r="C1" s="30"/>
      <c r="D1" s="30"/>
    </row>
    <row r="3" spans="1:4" ht="16" customHeight="1" x14ac:dyDescent="0.2">
      <c r="A3" s="19" t="s">
        <v>2364</v>
      </c>
      <c r="B3" s="19" t="s">
        <v>2365</v>
      </c>
      <c r="C3" s="19" t="s">
        <v>2366</v>
      </c>
      <c r="D3" s="19"/>
    </row>
    <row r="4" spans="1:4" x14ac:dyDescent="0.2">
      <c r="A4" s="20" t="s">
        <v>2367</v>
      </c>
      <c r="B4" s="20">
        <f>COUNTA(ASSUMPTION_MASTER!C:C)-1</f>
        <v>1025</v>
      </c>
      <c r="C4" s="20" t="s">
        <v>2368</v>
      </c>
    </row>
    <row r="5" spans="1:4" x14ac:dyDescent="0.2">
      <c r="A5" s="21" t="s">
        <v>2369</v>
      </c>
      <c r="B5" s="21">
        <f>COUNTIF(ASSUMPTION_MASTER!H:H,"K")</f>
        <v>1002</v>
      </c>
      <c r="C5" s="21" t="s">
        <v>2370</v>
      </c>
    </row>
    <row r="6" spans="1:4" x14ac:dyDescent="0.2">
      <c r="A6" s="20" t="s">
        <v>2371</v>
      </c>
      <c r="B6" s="20">
        <f>COUNTIF(ASSUMPTION_MASTER!H:H,"D")</f>
        <v>5</v>
      </c>
      <c r="C6" s="20" t="s">
        <v>2372</v>
      </c>
    </row>
    <row r="7" spans="1:4" x14ac:dyDescent="0.2">
      <c r="A7" s="21" t="s">
        <v>2373</v>
      </c>
      <c r="B7" s="21">
        <f>COUNTIF(ASSUMPTION_MASTER!H:H,"M")</f>
        <v>18</v>
      </c>
      <c r="C7" s="21" t="s">
        <v>2374</v>
      </c>
    </row>
    <row r="8" spans="1:4" x14ac:dyDescent="0.2">
      <c r="A8" s="20" t="s">
        <v>2375</v>
      </c>
      <c r="B8" s="20">
        <f>COUNTIF(ASSUMPTION_MASTER!H:H,"A")</f>
        <v>0</v>
      </c>
      <c r="C8" s="20" t="s">
        <v>2376</v>
      </c>
    </row>
    <row r="9" spans="1:4" x14ac:dyDescent="0.2">
      <c r="A9" s="21" t="s">
        <v>10</v>
      </c>
      <c r="B9" s="21">
        <f>COUNTIF(ASSUMPTION_MASTER!K:K,"Yes")</f>
        <v>0</v>
      </c>
      <c r="C9" s="21" t="s">
        <v>2377</v>
      </c>
    </row>
    <row r="10" spans="1:4" x14ac:dyDescent="0.2">
      <c r="A10" s="20" t="s">
        <v>2378</v>
      </c>
      <c r="B10" s="20">
        <f>COUNTIF(ASSUMPTION_MASTER!K:K,"No")</f>
        <v>1025</v>
      </c>
      <c r="C10" s="20" t="s">
        <v>2379</v>
      </c>
    </row>
    <row r="11" spans="1:4" x14ac:dyDescent="0.2">
      <c r="A11" s="21" t="s">
        <v>2380</v>
      </c>
      <c r="B11" s="21">
        <f>COUNTIF(ASSUMPTION_MASTER!E:E,"Draft")</f>
        <v>412</v>
      </c>
      <c r="C11" s="21" t="s">
        <v>2381</v>
      </c>
    </row>
    <row r="12" spans="1:4" x14ac:dyDescent="0.2">
      <c r="A12" s="20" t="s">
        <v>2382</v>
      </c>
      <c r="B12" s="20">
        <f>COUNTIF(ASSUMPTION_MASTER!E:E,"Approved v1.0")</f>
        <v>613</v>
      </c>
      <c r="C12" s="20" t="s">
        <v>2383</v>
      </c>
    </row>
    <row r="13" spans="1:4" x14ac:dyDescent="0.2">
      <c r="A13" s="21" t="s">
        <v>2384</v>
      </c>
      <c r="B13" s="21">
        <f>COUNTIF(ASSUMPTION_MASTER!G:G,"&lt;&gt;None")-SUMPRODUCT((ASSUMPTION_MASTER!G2:'ASSUMPTION_MASTER'!G2000="")*1)</f>
        <v>1046617</v>
      </c>
      <c r="C13" s="21" t="s">
        <v>2385</v>
      </c>
    </row>
    <row r="14" spans="1:4" x14ac:dyDescent="0.2">
      <c r="A14" s="20" t="s">
        <v>2386</v>
      </c>
      <c r="B14" s="20">
        <f>COUNTIF(ASSUMPTION_MASTER!F:F,"Critical")</f>
        <v>1</v>
      </c>
      <c r="C14" s="20" t="s">
        <v>2387</v>
      </c>
    </row>
    <row r="15" spans="1:4" x14ac:dyDescent="0.2">
      <c r="A15" s="21" t="s">
        <v>2388</v>
      </c>
      <c r="B15" s="21">
        <f>COUNTIF(ASSUMPTION_MASTER!F:F,"High")</f>
        <v>13</v>
      </c>
      <c r="C15" s="21" t="s">
        <v>2389</v>
      </c>
    </row>
    <row r="18" spans="1:4" x14ac:dyDescent="0.2">
      <c r="A18" s="31" t="s">
        <v>2390</v>
      </c>
      <c r="B18" s="30"/>
      <c r="C18" s="30"/>
      <c r="D18" s="30"/>
    </row>
    <row r="19" spans="1:4" x14ac:dyDescent="0.2">
      <c r="A19" s="22" t="s">
        <v>2273</v>
      </c>
      <c r="B19" s="22" t="s">
        <v>2391</v>
      </c>
      <c r="C19" s="22" t="s">
        <v>2392</v>
      </c>
      <c r="D19" s="22"/>
    </row>
    <row r="20" spans="1:4" x14ac:dyDescent="0.2">
      <c r="A20" s="23" t="s">
        <v>18</v>
      </c>
      <c r="B20" s="23" t="s">
        <v>2393</v>
      </c>
      <c r="C20" s="23" t="s">
        <v>2394</v>
      </c>
    </row>
    <row r="21" spans="1:4" x14ac:dyDescent="0.2">
      <c r="A21" s="23" t="s">
        <v>2395</v>
      </c>
      <c r="B21" s="23" t="s">
        <v>2396</v>
      </c>
      <c r="C21" s="23" t="s">
        <v>2397</v>
      </c>
    </row>
    <row r="22" spans="1:4" x14ac:dyDescent="0.2">
      <c r="A22" s="23" t="s">
        <v>2398</v>
      </c>
      <c r="B22" s="23" t="s">
        <v>2399</v>
      </c>
      <c r="C22" s="23" t="s">
        <v>2400</v>
      </c>
    </row>
    <row r="23" spans="1:4" x14ac:dyDescent="0.2">
      <c r="A23" s="23" t="s">
        <v>2401</v>
      </c>
      <c r="B23" s="23" t="s">
        <v>2402</v>
      </c>
      <c r="C23" s="23" t="s">
        <v>2403</v>
      </c>
    </row>
  </sheetData>
  <mergeCells count="2">
    <mergeCell ref="A1:D1"/>
    <mergeCell ref="A18:D1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3"/>
  <sheetViews>
    <sheetView workbookViewId="0">
      <pane ySplit="1" topLeftCell="A2" activePane="bottomLeft" state="frozen"/>
      <selection pane="bottomLeft"/>
    </sheetView>
  </sheetViews>
  <sheetFormatPr baseColWidth="10" defaultColWidth="8.83203125" defaultRowHeight="15" x14ac:dyDescent="0.2"/>
  <cols>
    <col min="1" max="1" width="28" customWidth="1"/>
    <col min="2" max="2" width="20" customWidth="1"/>
    <col min="3" max="3" width="30" customWidth="1"/>
    <col min="4" max="5" width="20" customWidth="1"/>
    <col min="6" max="6" width="12" customWidth="1"/>
    <col min="7" max="7" width="50" customWidth="1"/>
  </cols>
  <sheetData>
    <row r="1" spans="1:7" ht="18" customHeight="1" x14ac:dyDescent="0.2">
      <c r="A1" s="24" t="s">
        <v>2404</v>
      </c>
      <c r="B1" s="24" t="s">
        <v>0</v>
      </c>
      <c r="C1" s="24" t="s">
        <v>2405</v>
      </c>
      <c r="D1" s="24" t="s">
        <v>2406</v>
      </c>
      <c r="E1" s="24" t="s">
        <v>2407</v>
      </c>
      <c r="F1" s="24" t="s">
        <v>2408</v>
      </c>
      <c r="G1" s="24" t="s">
        <v>2409</v>
      </c>
    </row>
    <row r="2" spans="1:7" ht="26" x14ac:dyDescent="0.2">
      <c r="A2" s="2" t="s">
        <v>2410</v>
      </c>
      <c r="B2" s="2" t="s">
        <v>12</v>
      </c>
      <c r="C2" s="2" t="s">
        <v>2411</v>
      </c>
      <c r="D2" s="2" t="s">
        <v>2412</v>
      </c>
      <c r="E2" s="2" t="s">
        <v>17</v>
      </c>
      <c r="F2" s="25" t="s">
        <v>272</v>
      </c>
      <c r="G2" s="2" t="s">
        <v>2413</v>
      </c>
    </row>
    <row r="3" spans="1:7" ht="26" x14ac:dyDescent="0.2">
      <c r="A3" s="2" t="s">
        <v>2414</v>
      </c>
      <c r="B3" s="2" t="s">
        <v>260</v>
      </c>
      <c r="C3" s="2" t="s">
        <v>2415</v>
      </c>
      <c r="D3" s="2" t="s">
        <v>2416</v>
      </c>
      <c r="E3" s="2" t="s">
        <v>2417</v>
      </c>
      <c r="F3" s="26" t="s">
        <v>317</v>
      </c>
      <c r="G3" s="2" t="s">
        <v>2418</v>
      </c>
    </row>
    <row r="4" spans="1:7" ht="26" x14ac:dyDescent="0.2">
      <c r="A4" s="2" t="s">
        <v>2410</v>
      </c>
      <c r="B4" s="2" t="s">
        <v>260</v>
      </c>
      <c r="C4" s="2" t="s">
        <v>2419</v>
      </c>
      <c r="D4" s="2" t="s">
        <v>2412</v>
      </c>
      <c r="E4" s="2" t="s">
        <v>17</v>
      </c>
      <c r="F4" s="25" t="s">
        <v>272</v>
      </c>
      <c r="G4" s="2" t="s">
        <v>2420</v>
      </c>
    </row>
    <row r="5" spans="1:7" ht="26" x14ac:dyDescent="0.2">
      <c r="A5" s="2" t="s">
        <v>2414</v>
      </c>
      <c r="B5" s="2" t="s">
        <v>392</v>
      </c>
      <c r="C5" s="2" t="s">
        <v>2415</v>
      </c>
      <c r="D5" s="2" t="s">
        <v>2421</v>
      </c>
      <c r="E5" s="2" t="s">
        <v>2422</v>
      </c>
      <c r="F5" s="25" t="s">
        <v>272</v>
      </c>
      <c r="G5" s="2" t="s">
        <v>2423</v>
      </c>
    </row>
    <row r="6" spans="1:7" ht="26" x14ac:dyDescent="0.2">
      <c r="A6" s="2" t="s">
        <v>2410</v>
      </c>
      <c r="B6" s="2" t="s">
        <v>392</v>
      </c>
      <c r="C6" s="2" t="s">
        <v>2424</v>
      </c>
      <c r="D6" s="2" t="s">
        <v>2412</v>
      </c>
      <c r="E6" s="2" t="s">
        <v>17</v>
      </c>
      <c r="F6" s="25" t="s">
        <v>272</v>
      </c>
      <c r="G6" s="2" t="s">
        <v>2425</v>
      </c>
    </row>
    <row r="7" spans="1:7" ht="26" x14ac:dyDescent="0.2">
      <c r="A7" s="2" t="s">
        <v>2414</v>
      </c>
      <c r="B7" s="2" t="s">
        <v>480</v>
      </c>
      <c r="C7" s="2" t="s">
        <v>2415</v>
      </c>
      <c r="D7" s="2" t="s">
        <v>2426</v>
      </c>
      <c r="E7" s="2" t="s">
        <v>2427</v>
      </c>
      <c r="F7" s="25" t="s">
        <v>272</v>
      </c>
      <c r="G7" s="2" t="s">
        <v>2428</v>
      </c>
    </row>
    <row r="8" spans="1:7" ht="26" x14ac:dyDescent="0.2">
      <c r="A8" s="2" t="s">
        <v>2410</v>
      </c>
      <c r="B8" s="2" t="s">
        <v>480</v>
      </c>
      <c r="C8" s="2" t="s">
        <v>2429</v>
      </c>
      <c r="D8" s="2" t="s">
        <v>2412</v>
      </c>
      <c r="E8" s="2" t="s">
        <v>17</v>
      </c>
      <c r="F8" s="25" t="s">
        <v>272</v>
      </c>
      <c r="G8" s="2" t="s">
        <v>2430</v>
      </c>
    </row>
    <row r="9" spans="1:7" ht="26" x14ac:dyDescent="0.2">
      <c r="A9" s="2" t="s">
        <v>2414</v>
      </c>
      <c r="B9" s="2" t="s">
        <v>554</v>
      </c>
      <c r="C9" s="2" t="s">
        <v>2415</v>
      </c>
      <c r="D9" s="2" t="s">
        <v>2431</v>
      </c>
      <c r="E9" s="2" t="s">
        <v>2432</v>
      </c>
      <c r="F9" s="25" t="s">
        <v>272</v>
      </c>
      <c r="G9" s="2" t="s">
        <v>2433</v>
      </c>
    </row>
    <row r="10" spans="1:7" ht="26" x14ac:dyDescent="0.2">
      <c r="A10" s="2" t="s">
        <v>2410</v>
      </c>
      <c r="B10" s="2" t="s">
        <v>554</v>
      </c>
      <c r="C10" s="2" t="s">
        <v>2434</v>
      </c>
      <c r="D10" s="2" t="s">
        <v>2412</v>
      </c>
      <c r="E10" s="2" t="s">
        <v>17</v>
      </c>
      <c r="F10" s="25" t="s">
        <v>272</v>
      </c>
      <c r="G10" s="2" t="s">
        <v>2435</v>
      </c>
    </row>
    <row r="11" spans="1:7" ht="26" x14ac:dyDescent="0.2">
      <c r="A11" s="2" t="s">
        <v>2414</v>
      </c>
      <c r="B11" s="2" t="s">
        <v>628</v>
      </c>
      <c r="C11" s="2" t="s">
        <v>2415</v>
      </c>
      <c r="D11" s="2" t="s">
        <v>2436</v>
      </c>
      <c r="E11" s="2" t="s">
        <v>2437</v>
      </c>
      <c r="F11" s="26" t="s">
        <v>317</v>
      </c>
      <c r="G11" s="2" t="s">
        <v>2438</v>
      </c>
    </row>
    <row r="12" spans="1:7" ht="26" x14ac:dyDescent="0.2">
      <c r="A12" s="2" t="s">
        <v>2414</v>
      </c>
      <c r="B12" s="2" t="s">
        <v>852</v>
      </c>
      <c r="C12" s="2" t="s">
        <v>2415</v>
      </c>
      <c r="D12" s="2" t="s">
        <v>2439</v>
      </c>
      <c r="E12" s="2" t="s">
        <v>2440</v>
      </c>
      <c r="F12" s="26" t="s">
        <v>317</v>
      </c>
      <c r="G12" s="2" t="s">
        <v>2441</v>
      </c>
    </row>
    <row r="13" spans="1:7" ht="26" x14ac:dyDescent="0.2">
      <c r="A13" s="2" t="s">
        <v>2414</v>
      </c>
      <c r="B13" s="2" t="s">
        <v>2088</v>
      </c>
      <c r="C13" s="2" t="s">
        <v>2415</v>
      </c>
      <c r="D13" s="2" t="s">
        <v>2442</v>
      </c>
      <c r="E13" s="2" t="s">
        <v>2443</v>
      </c>
      <c r="F13" s="25" t="s">
        <v>272</v>
      </c>
      <c r="G13" s="2" t="s">
        <v>2444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ASSUMPTION_MASTER</vt:lpstr>
      <vt:lpstr>PACK_SUMMARY</vt:lpstr>
      <vt:lpstr>DECISION_DEPENDENCY_MAP</vt:lpstr>
      <vt:lpstr>CHANGE_SUMMARY</vt:lpstr>
      <vt:lpstr>VALIDATION_EXCEPTIONS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Hein Blignaut</cp:lastModifiedBy>
  <dcterms:created xsi:type="dcterms:W3CDTF">2026-06-17T06:49:59Z</dcterms:created>
  <dcterms:modified xsi:type="dcterms:W3CDTF">2026-06-18T08:00:37Z</dcterms:modified>
</cp:coreProperties>
</file>